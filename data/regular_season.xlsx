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g\Documents\repos\Machine Intelligence\ML\hockey_prediction\data\"/>
    </mc:Choice>
  </mc:AlternateContent>
  <xr:revisionPtr revIDLastSave="0" documentId="13_ncr:1_{9A6C2F4A-454C-45B5-9E7A-3431C37C7BA0}" xr6:coauthVersionLast="47" xr6:coauthVersionMax="47" xr10:uidLastSave="{00000000-0000-0000-0000-000000000000}"/>
  <bookViews>
    <workbookView xWindow="8595" yWindow="1425" windowWidth="32670" windowHeight="18885" activeTab="2" xr2:uid="{936BD1DA-D9BC-4520-AF9B-B5E855B6E2D6}"/>
  </bookViews>
  <sheets>
    <sheet name="df_test" sheetId="4" r:id="rId1"/>
    <sheet name="elo_full" sheetId="3" r:id="rId2"/>
    <sheet name="regular_season" sheetId="2" r:id="rId3"/>
    <sheet name="Sheet1" sheetId="1" r:id="rId4"/>
  </sheets>
  <definedNames>
    <definedName name="ExternalData_1" localSheetId="2" hidden="1">regular_season!$A$1:$Q$365</definedName>
    <definedName name="ExternalData_2" localSheetId="1" hidden="1">elo_full!$A$1:$M$365</definedName>
    <definedName name="ExternalData_3" localSheetId="0" hidden="1">df_test!$A$1:$N$85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E27" i="1"/>
  <c r="E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E20" i="1"/>
  <c r="E21" i="1"/>
  <c r="E2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E4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24222-AB53-405E-85D7-DE5EF04F15EA}" keepAlive="1" name="Query - df_test" description="Connection to the 'df_test' query in the workbook." type="5" refreshedVersion="8" background="1" saveData="1">
    <dbPr connection="Provider=Microsoft.Mashup.OleDb.1;Data Source=$Workbook$;Location=df_test;Extended Properties=&quot;&quot;" command="SELECT * FROM [df_test]"/>
  </connection>
  <connection id="2" xr16:uid="{B6C33E92-823C-4AFC-B1DA-95724BCD4835}" keepAlive="1" name="Query - elo_full" description="Connection to the 'elo_full' query in the workbook." type="5" refreshedVersion="8" background="1" saveData="1">
    <dbPr connection="Provider=Microsoft.Mashup.OleDb.1;Data Source=$Workbook$;Location=elo_full;Extended Properties=&quot;&quot;" command="SELECT * FROM [elo_full]"/>
  </connection>
  <connection id="3" xr16:uid="{6D852054-36F4-46E9-AB2D-B6A917004720}" keepAlive="1" name="Query - regular-season-2526" description="Connection to the 'regular-season-2526' query in the workbook." type="5" refreshedVersion="8" background="1" saveData="1">
    <dbPr connection="Provider=Microsoft.Mashup.OleDb.1;Data Source=$Workbook$;Location=regular-season-2526;Extended Properties=&quot;&quot;" command="SELECT * FROM [regular-season-2526]"/>
  </connection>
</connections>
</file>

<file path=xl/sharedStrings.xml><?xml version="1.0" encoding="utf-8"?>
<sst xmlns="http://schemas.openxmlformats.org/spreadsheetml/2006/main" count="5403" uniqueCount="385">
  <si>
    <t>Tag</t>
  </si>
  <si>
    <t>Datum</t>
  </si>
  <si>
    <t>Zeit</t>
  </si>
  <si>
    <t>Home</t>
  </si>
  <si>
    <t>Away</t>
  </si>
  <si>
    <t>Resultat</t>
  </si>
  <si>
    <t>Drittel</t>
  </si>
  <si>
    <t>OT/SO</t>
  </si>
  <si>
    <t>Status</t>
  </si>
  <si>
    <t>Versch.</t>
  </si>
  <si>
    <t>Stadion</t>
  </si>
  <si>
    <t>Zus.</t>
  </si>
  <si>
    <t>TV/Online</t>
  </si>
  <si>
    <t>Id</t>
  </si>
  <si>
    <t>Liga</t>
  </si>
  <si>
    <t>Region</t>
  </si>
  <si>
    <t>Phase</t>
  </si>
  <si>
    <t>Di</t>
  </si>
  <si>
    <t>HC Ambri-Piotta</t>
  </si>
  <si>
    <t>EHC Kloten</t>
  </si>
  <si>
    <t xml:space="preserve"> 0:0|1:1|1:0</t>
  </si>
  <si>
    <t/>
  </si>
  <si>
    <t>Ende</t>
  </si>
  <si>
    <t>Gottardo Arena, 6775 Ambri TI</t>
  </si>
  <si>
    <t>MYSPORTS</t>
  </si>
  <si>
    <t>NL</t>
  </si>
  <si>
    <t>CH</t>
  </si>
  <si>
    <t>Regular Season</t>
  </si>
  <si>
    <t>HC Davos</t>
  </si>
  <si>
    <t>Lausanne HC</t>
  </si>
  <si>
    <t xml:space="preserve"> 0:0|1:0|3:1</t>
  </si>
  <si>
    <t>zondacrypto-Arena, 7270 Davos-Platz GR</t>
  </si>
  <si>
    <t>Fribourg-Gottéron</t>
  </si>
  <si>
    <t>HC Lugano</t>
  </si>
  <si>
    <t xml:space="preserve"> 1:0|0:1|1:1|1:0</t>
  </si>
  <si>
    <t>OT</t>
  </si>
  <si>
    <t>BCF Arena, 1700 Fribourg FR</t>
  </si>
  <si>
    <t>MYSPORTS,TELETICINO</t>
  </si>
  <si>
    <t>Genève-Servette HC</t>
  </si>
  <si>
    <t>HC Ajoie</t>
  </si>
  <si>
    <t xml:space="preserve"> 0:1|2:0|3:2</t>
  </si>
  <si>
    <t>Les Vernets, 1227 Les Acacias GE</t>
  </si>
  <si>
    <t>SC Rapperswil-Jona Lakers</t>
  </si>
  <si>
    <t>SCL Tigers</t>
  </si>
  <si>
    <t xml:space="preserve"> 2:0|2:0|1:1</t>
  </si>
  <si>
    <t>St.Galler Kantonalbank Arena, 8640 Rapperswil SG</t>
  </si>
  <si>
    <t>ZSC Lions</t>
  </si>
  <si>
    <t>EHC Biel-Bienne</t>
  </si>
  <si>
    <t xml:space="preserve"> 0:1|1:0|3:2</t>
  </si>
  <si>
    <t>Swiss Life Arena, 8048 Zürich ZH</t>
  </si>
  <si>
    <t>MYSPORTS,LEMANBLEU,LATELE,TELEB</t>
  </si>
  <si>
    <t>EV Zug</t>
  </si>
  <si>
    <t>SC Bern</t>
  </si>
  <si>
    <t xml:space="preserve"> 2:0|0:0|1:0</t>
  </si>
  <si>
    <t>OYM hall, 6303 Zug</t>
  </si>
  <si>
    <t>Do</t>
  </si>
  <si>
    <t xml:space="preserve"> 1:1|0:2|0:1</t>
  </si>
  <si>
    <t>Tissot Arena, 2504 Biel/Bienne BE</t>
  </si>
  <si>
    <t>MYSPORTS,TV24,3PLUS</t>
  </si>
  <si>
    <t>Fr</t>
  </si>
  <si>
    <t xml:space="preserve"> 0:1|0:3|0:0</t>
  </si>
  <si>
    <t>Raiffeisen Arena, 2900 Porrentruy JU</t>
  </si>
  <si>
    <t xml:space="preserve"> 1:0|0:1|0:0|1:0</t>
  </si>
  <si>
    <t>SO</t>
  </si>
  <si>
    <t>PostFinance Arena, 3014 Bern BE</t>
  </si>
  <si>
    <t xml:space="preserve"> 0:2|0:1|5:0</t>
  </si>
  <si>
    <t>SWISS Arena, 8302 Kloten ZH</t>
  </si>
  <si>
    <t xml:space="preserve"> 0:0|1:2|0:0</t>
  </si>
  <si>
    <t>Cornèr Arena, 6948 Porza Ti</t>
  </si>
  <si>
    <t xml:space="preserve"> 2:0|2:1|1:0</t>
  </si>
  <si>
    <t>Vaudoise Aréna, 1008 Lausanne VD</t>
  </si>
  <si>
    <t xml:space="preserve"> 2:1|0:1|1:0</t>
  </si>
  <si>
    <t>emmental versicherung arena , 3550 Langnau i. E. BE</t>
  </si>
  <si>
    <t>Sa</t>
  </si>
  <si>
    <t xml:space="preserve"> 0:1|0:1|0:1</t>
  </si>
  <si>
    <t xml:space="preserve"> 1:0|0:0|3:0</t>
  </si>
  <si>
    <t xml:space="preserve"> 1:0|2:1|1:1</t>
  </si>
  <si>
    <t xml:space="preserve"> 2:1|0:0|0:0</t>
  </si>
  <si>
    <t xml:space="preserve"> 1:1|1:0|3:0</t>
  </si>
  <si>
    <t xml:space="preserve"> 0:0|3:1|0:2|0:1</t>
  </si>
  <si>
    <t>So</t>
  </si>
  <si>
    <t xml:space="preserve"> 1:0|2:0|3:0</t>
  </si>
  <si>
    <t xml:space="preserve"> 1:1|0:2|1:1</t>
  </si>
  <si>
    <t xml:space="preserve"> 0:1|2:0|1:0</t>
  </si>
  <si>
    <t xml:space="preserve"> 0:0|0:1|2:1|1:0</t>
  </si>
  <si>
    <t xml:space="preserve"> 2:0|1:1|1:1</t>
  </si>
  <si>
    <t xml:space="preserve"> 2:0|6:0|3:0</t>
  </si>
  <si>
    <t xml:space="preserve"> 1:0|0:0|1:1</t>
  </si>
  <si>
    <t xml:space="preserve"> 1:1|1:3|2:0|0:1</t>
  </si>
  <si>
    <t xml:space="preserve"> 0:1|1:0|2:1</t>
  </si>
  <si>
    <t xml:space="preserve"> 1:3|1:1|0:1</t>
  </si>
  <si>
    <t xml:space="preserve"> 0:2|1:0|1:3</t>
  </si>
  <si>
    <t xml:space="preserve"> 0:0|1:0|1:0</t>
  </si>
  <si>
    <t xml:space="preserve"> 0:0|0:2|0:2</t>
  </si>
  <si>
    <t xml:space="preserve"> 1:0|1:4|1:0</t>
  </si>
  <si>
    <t xml:space="preserve"> 1:0|1:2|0:0|1:0</t>
  </si>
  <si>
    <t xml:space="preserve"> 2:0|0:0|0:0</t>
  </si>
  <si>
    <t xml:space="preserve"> 2:0|3:2|0:0</t>
  </si>
  <si>
    <t xml:space="preserve"> 2:3|0:2|1:0</t>
  </si>
  <si>
    <t xml:space="preserve"> 1:1|0:0|1:3</t>
  </si>
  <si>
    <t xml:space="preserve"> 0:2|0:4|0:0</t>
  </si>
  <si>
    <t xml:space="preserve"> 1:0|3:0|0:0</t>
  </si>
  <si>
    <t xml:space="preserve"> 0:1|2:1|0:0|1:0</t>
  </si>
  <si>
    <t xml:space="preserve"> 1:2|3:2|1:0</t>
  </si>
  <si>
    <t xml:space="preserve"> 0:0|1:0|0:1|1:0</t>
  </si>
  <si>
    <t xml:space="preserve"> 0:1|0:0|0:2</t>
  </si>
  <si>
    <t xml:space="preserve"> 2:0|2:0|0:1</t>
  </si>
  <si>
    <t xml:space="preserve"> 2:0|0:1|3:1</t>
  </si>
  <si>
    <t xml:space="preserve"> 1:2|1:0|1:1|0:1</t>
  </si>
  <si>
    <t xml:space="preserve"> 0:2|1:1|1:2</t>
  </si>
  <si>
    <t xml:space="preserve"> 0:0|0:1|0:3</t>
  </si>
  <si>
    <t xml:space="preserve"> 0:1|0:0|0:0</t>
  </si>
  <si>
    <t xml:space="preserve"> 1:2|2:1|0:1</t>
  </si>
  <si>
    <t xml:space="preserve"> 1:1|2:2|1:2</t>
  </si>
  <si>
    <t xml:space="preserve"> 0:1|2:1|1:1|0:1</t>
  </si>
  <si>
    <t xml:space="preserve"> 1:3|1:0|0:2</t>
  </si>
  <si>
    <t xml:space="preserve"> 1:0|1:1|2:3|1:0</t>
  </si>
  <si>
    <t xml:space="preserve"> 1:2|0:0|1:0|1:0</t>
  </si>
  <si>
    <t xml:space="preserve"> 1:1|1:0|1:0</t>
  </si>
  <si>
    <t xml:space="preserve"> 0:1|1:1|1:0|0:1</t>
  </si>
  <si>
    <t xml:space="preserve"> 0:0|1:2|0:2</t>
  </si>
  <si>
    <t xml:space="preserve"> 0:1|0:0|1:0|1:0</t>
  </si>
  <si>
    <t xml:space="preserve"> 3:1|1:1|2:1</t>
  </si>
  <si>
    <t xml:space="preserve"> 1:2|0:0|0:0</t>
  </si>
  <si>
    <t xml:space="preserve"> 0:0|1:3|0:2</t>
  </si>
  <si>
    <t xml:space="preserve"> 0:1|1:0|0:1</t>
  </si>
  <si>
    <t xml:space="preserve"> 2:1|1:0|0:2|1:0</t>
  </si>
  <si>
    <t xml:space="preserve"> 0:1|1:1|2:2</t>
  </si>
  <si>
    <t>Mi</t>
  </si>
  <si>
    <t xml:space="preserve"> 2:0|0:1|0:0</t>
  </si>
  <si>
    <t xml:space="preserve"> 1:2|1:1|0:0</t>
  </si>
  <si>
    <t xml:space="preserve"> 1:1|0:2|0:2</t>
  </si>
  <si>
    <t xml:space="preserve"> 0:1|1:0|1:0</t>
  </si>
  <si>
    <t xml:space="preserve"> 1:0|0:0|0:0</t>
  </si>
  <si>
    <t xml:space="preserve"> 2:2|2:0|3:1</t>
  </si>
  <si>
    <t xml:space="preserve"> 2:1|1:0|1:1</t>
  </si>
  <si>
    <t xml:space="preserve"> 0:1|1:1|0:1</t>
  </si>
  <si>
    <t xml:space="preserve"> 1:0|1:1|0:0</t>
  </si>
  <si>
    <t xml:space="preserve"> 1:1|0:0|3:1</t>
  </si>
  <si>
    <t xml:space="preserve"> 1:0|0:2|0:1</t>
  </si>
  <si>
    <t xml:space="preserve"> 2:0|1:0|1:2</t>
  </si>
  <si>
    <t xml:space="preserve"> 1:0|3:0|4:0</t>
  </si>
  <si>
    <t xml:space="preserve"> 1:1|1:2|2:1|1:0</t>
  </si>
  <si>
    <t xml:space="preserve"> 1:2|2:1|1:3</t>
  </si>
  <si>
    <t xml:space="preserve"> 0:0|1:0|2:3|1:0</t>
  </si>
  <si>
    <t xml:space="preserve"> 1:1|2:0|0:1</t>
  </si>
  <si>
    <t xml:space="preserve"> 1:1|1:1|0:3</t>
  </si>
  <si>
    <t xml:space="preserve"> 0:2|3:1|0:1</t>
  </si>
  <si>
    <t>MYSPORTS,TV24,LEMANBLEU,3PLUS,LATELE,TELEB</t>
  </si>
  <si>
    <t xml:space="preserve"> 2:0|1:2|0:0</t>
  </si>
  <si>
    <t xml:space="preserve"> 0:0|0:2|1:2</t>
  </si>
  <si>
    <t xml:space="preserve"> 0:0|2:0|1:0</t>
  </si>
  <si>
    <t xml:space="preserve"> 0:0|1:1|0:0|1:0</t>
  </si>
  <si>
    <t xml:space="preserve"> 1:0|1:1|0:2</t>
  </si>
  <si>
    <t xml:space="preserve"> 0:2|0:1|1:1</t>
  </si>
  <si>
    <t xml:space="preserve"> 1:1|0:0|0:1</t>
  </si>
  <si>
    <t xml:space="preserve"> 1:0|0:1|0:1</t>
  </si>
  <si>
    <t xml:space="preserve"> 1:1|3:2|1:0</t>
  </si>
  <si>
    <t xml:space="preserve"> 2:0|0:0|0:1</t>
  </si>
  <si>
    <t xml:space="preserve"> 0:0|0:1|0:2</t>
  </si>
  <si>
    <t xml:space="preserve"> 1:2|1:2|0:0</t>
  </si>
  <si>
    <t xml:space="preserve"> 0:1|0:0|0:1</t>
  </si>
  <si>
    <t xml:space="preserve"> 1:1|3:2|0:3</t>
  </si>
  <si>
    <t xml:space="preserve"> 2:0|3:1|1:1</t>
  </si>
  <si>
    <t xml:space="preserve"> 1:0|0:0|2:1</t>
  </si>
  <si>
    <t xml:space="preserve"> 0:0|0:0|1:1|1:0</t>
  </si>
  <si>
    <t xml:space="preserve"> 0:1|0:0|1:2</t>
  </si>
  <si>
    <t xml:space="preserve"> 1:2|0:1|0:2</t>
  </si>
  <si>
    <t xml:space="preserve"> 3:0|2:0|1:0</t>
  </si>
  <si>
    <t xml:space="preserve"> 2:0|2:0|0:3</t>
  </si>
  <si>
    <t xml:space="preserve"> 1:0|1:0|0:1</t>
  </si>
  <si>
    <t xml:space="preserve"> 0:1|0:4|0:0</t>
  </si>
  <si>
    <t xml:space="preserve"> 0:0|2:1|1:2|1:0</t>
  </si>
  <si>
    <t xml:space="preserve"> 1:0|2:1|2:1</t>
  </si>
  <si>
    <t xml:space="preserve"> 2:1|0:0|0:1|0:1</t>
  </si>
  <si>
    <t xml:space="preserve"> 3:1|2:0|0:0</t>
  </si>
  <si>
    <t xml:space="preserve"> 1:0|3:3|4:0</t>
  </si>
  <si>
    <t xml:space="preserve"> 1:1|1:0|0:3</t>
  </si>
  <si>
    <t xml:space="preserve"> 0:2|1:1|0:1</t>
  </si>
  <si>
    <t xml:space="preserve"> 1:0|1:0|3:1</t>
  </si>
  <si>
    <t xml:space="preserve"> 2:2|0:2|0:2</t>
  </si>
  <si>
    <t xml:space="preserve"> 0:0|1:1|0:0|0:1</t>
  </si>
  <si>
    <t xml:space="preserve"> 1:1|0:0|0:0|0:1</t>
  </si>
  <si>
    <t xml:space="preserve"> 5:1|0:1|0:0</t>
  </si>
  <si>
    <t xml:space="preserve"> 1:1|1:0|3:2</t>
  </si>
  <si>
    <t xml:space="preserve"> 0:0|0:1|1:0|0:1</t>
  </si>
  <si>
    <t xml:space="preserve"> 4:0|0:0|2:0</t>
  </si>
  <si>
    <t xml:space="preserve"> 0:0|0:1|1:3</t>
  </si>
  <si>
    <t xml:space="preserve"> 1:0|2:0|0:0</t>
  </si>
  <si>
    <t xml:space="preserve"> 2:0|1:0|2:1</t>
  </si>
  <si>
    <t xml:space="preserve"> 1:0|1:2|0:3</t>
  </si>
  <si>
    <t xml:space="preserve"> 1:2|1:1|2:2</t>
  </si>
  <si>
    <t xml:space="preserve"> 1:0|2:1|3:0</t>
  </si>
  <si>
    <t xml:space="preserve"> 4:0|1:0|2:0</t>
  </si>
  <si>
    <t xml:space="preserve"> 1:2|1:0|2:0</t>
  </si>
  <si>
    <t xml:space="preserve"> 0:0|2:0|2:2</t>
  </si>
  <si>
    <t xml:space="preserve"> 2:0|4:0|1:0</t>
  </si>
  <si>
    <t xml:space="preserve"> 3:1|1:3|0:1</t>
  </si>
  <si>
    <t xml:space="preserve"> 0:2|3:2|2:1|0:1</t>
  </si>
  <si>
    <t xml:space="preserve"> 0:0|0:0|0:0|0:1</t>
  </si>
  <si>
    <t xml:space="preserve"> 2:0|1:1|3:1</t>
  </si>
  <si>
    <t xml:space="preserve"> 0:0|1:1|2:0</t>
  </si>
  <si>
    <t xml:space="preserve"> 0:0|0:0|0:3</t>
  </si>
  <si>
    <t xml:space="preserve"> 0:0|2:1|4:0</t>
  </si>
  <si>
    <t xml:space="preserve"> 2:1|2:0|1:0</t>
  </si>
  <si>
    <t xml:space="preserve"> 1:0|0:1|2:0</t>
  </si>
  <si>
    <t xml:space="preserve"> 0:1|3:0|2:1</t>
  </si>
  <si>
    <t xml:space="preserve"> 1:2|0:0|4:1</t>
  </si>
  <si>
    <t xml:space="preserve"> 0:1|2:0|0:1|1:0</t>
  </si>
  <si>
    <t xml:space="preserve"> 0:2|1:0|3:0</t>
  </si>
  <si>
    <t xml:space="preserve"> 1:0|0:0|1:0</t>
  </si>
  <si>
    <t xml:space="preserve"> 1:0|0:2|3:0</t>
  </si>
  <si>
    <t xml:space="preserve"> 1:0|3:0|2:0</t>
  </si>
  <si>
    <t xml:space="preserve"> 0:0|0:2|2:0|1:0</t>
  </si>
  <si>
    <t xml:space="preserve"> 1:0|2:1|2:0</t>
  </si>
  <si>
    <t xml:space="preserve"> 1:0|0:0|0:1|0:1</t>
  </si>
  <si>
    <t xml:space="preserve"> 2:0|1:2|0:1|0:1</t>
  </si>
  <si>
    <t xml:space="preserve"> 0:1|0:1|0:2</t>
  </si>
  <si>
    <t xml:space="preserve"> 1:2|3:2|2:1</t>
  </si>
  <si>
    <t xml:space="preserve"> 1:2|0:0|1:3</t>
  </si>
  <si>
    <t xml:space="preserve"> 2:0|0:2|0:1</t>
  </si>
  <si>
    <t xml:space="preserve"> 0:1|2:1|0:1</t>
  </si>
  <si>
    <t>MYSPORTS,TELETICINO,TV24,3PLUS</t>
  </si>
  <si>
    <t xml:space="preserve"> 0:3|0:2|1:0</t>
  </si>
  <si>
    <t xml:space="preserve"> 1:1|2:0|1:0</t>
  </si>
  <si>
    <t xml:space="preserve"> 0:1|2:1|3:0</t>
  </si>
  <si>
    <t xml:space="preserve"> 4:1|1:0|1:0</t>
  </si>
  <si>
    <t xml:space="preserve"> 1:1|0:0|2:0</t>
  </si>
  <si>
    <t xml:space="preserve"> 1:0|1:1|0:4</t>
  </si>
  <si>
    <t xml:space="preserve"> 1:3|1:1|1:0</t>
  </si>
  <si>
    <t xml:space="preserve"> 2:0|1:2|1:0</t>
  </si>
  <si>
    <t xml:space="preserve"> 2:0|4:0|2:0</t>
  </si>
  <si>
    <t xml:space="preserve"> 1:0|3:1|2:3</t>
  </si>
  <si>
    <t xml:space="preserve"> 2:0|0:1|1:0</t>
  </si>
  <si>
    <t xml:space="preserve"> 0:2|1:1|1:0</t>
  </si>
  <si>
    <t xml:space="preserve"> 0:1|1:1|2:1|1:0</t>
  </si>
  <si>
    <t xml:space="preserve"> 1:2|0:1|1:0</t>
  </si>
  <si>
    <t xml:space="preserve"> 1:1|3:0|1:0</t>
  </si>
  <si>
    <t xml:space="preserve"> 0:1|0:1|2:0|1:0</t>
  </si>
  <si>
    <t xml:space="preserve"> 2:2|1:2|1:0|1:0</t>
  </si>
  <si>
    <t xml:space="preserve"> 0:0|0:0|2:1</t>
  </si>
  <si>
    <t xml:space="preserve"> 0:0|1:0|1:2|1:0</t>
  </si>
  <si>
    <t xml:space="preserve"> 1:1|0:0|1:1|0:1</t>
  </si>
  <si>
    <t xml:space="preserve"> 0:1|1:0|2:3</t>
  </si>
  <si>
    <t xml:space="preserve"> 2:1|1:1|3:0</t>
  </si>
  <si>
    <t xml:space="preserve"> 0:1|0:1|2:2</t>
  </si>
  <si>
    <t xml:space="preserve"> 2:1|3:0|1:1</t>
  </si>
  <si>
    <t xml:space="preserve"> 3:0|0:0|2:2</t>
  </si>
  <si>
    <t xml:space="preserve"> 1:1|0:1|1:0|0:1</t>
  </si>
  <si>
    <t xml:space="preserve"> 2:0|1:1|1:0</t>
  </si>
  <si>
    <t xml:space="preserve"> 1:0|1:2|0:0|0:1</t>
  </si>
  <si>
    <t xml:space="preserve"> 1:0|0:0|0:2</t>
  </si>
  <si>
    <t xml:space="preserve"> 1:0|3:1|2:0</t>
  </si>
  <si>
    <t xml:space="preserve"> 1:0|2:0|1:0</t>
  </si>
  <si>
    <t xml:space="preserve"> 1:0|1:0|1:1</t>
  </si>
  <si>
    <t xml:space="preserve"> 1:0|1:1|1:0</t>
  </si>
  <si>
    <t xml:space="preserve"> 1:1|1:2|3:1</t>
  </si>
  <si>
    <t xml:space="preserve"> 2:1|0:1|3:1</t>
  </si>
  <si>
    <t xml:space="preserve"> 2:0|2:1|0:1</t>
  </si>
  <si>
    <t xml:space="preserve"> 1:1|1:1|1:1|0:1</t>
  </si>
  <si>
    <t xml:space="preserve"> 3:2|1:2|1:1|0:1</t>
  </si>
  <si>
    <t xml:space="preserve"> 0:1|0:1|2:0|0:1</t>
  </si>
  <si>
    <t xml:space="preserve"> 0:2|0:0|1:2</t>
  </si>
  <si>
    <t xml:space="preserve"> 3:0|0:1|2:1</t>
  </si>
  <si>
    <t xml:space="preserve"> 0:0|1:0|3:0</t>
  </si>
  <si>
    <t xml:space="preserve"> 2:1|3:1|0:2</t>
  </si>
  <si>
    <t xml:space="preserve"> 1:2|0:0|3:0</t>
  </si>
  <si>
    <t xml:space="preserve"> 1:0|2:0|2:1</t>
  </si>
  <si>
    <t xml:space="preserve"> 1:1|2:0|0:2|1:0</t>
  </si>
  <si>
    <t xml:space="preserve"> 2:1|0:0|1:1</t>
  </si>
  <si>
    <t>Mo</t>
  </si>
  <si>
    <t xml:space="preserve"> 0:0|1:0|1:2|0:1</t>
  </si>
  <si>
    <t xml:space="preserve"> 1:1|4:0|1:0</t>
  </si>
  <si>
    <t xml:space="preserve"> 1:2|1:1|0:2</t>
  </si>
  <si>
    <t xml:space="preserve"> 0:2|1:0|1:0|1:0</t>
  </si>
  <si>
    <t xml:space="preserve"> 2:1|4:2|1:0</t>
  </si>
  <si>
    <t xml:space="preserve"> 3:0|0:1|1:2</t>
  </si>
  <si>
    <t xml:space="preserve"> 1:1|1:2|0:1</t>
  </si>
  <si>
    <t xml:space="preserve"> 1:0|0:1|3:1</t>
  </si>
  <si>
    <t xml:space="preserve"> 1:1|1:0|0:1|1:0</t>
  </si>
  <si>
    <t xml:space="preserve"> 0:0|2:1|1:3</t>
  </si>
  <si>
    <t xml:space="preserve"> 2:0|1:2|2:1</t>
  </si>
  <si>
    <t xml:space="preserve"> 0:0|6:0|1:0</t>
  </si>
  <si>
    <t xml:space="preserve"> 0:0|2:1|2:0</t>
  </si>
  <si>
    <t xml:space="preserve"> 0:0|0:2|0:1</t>
  </si>
  <si>
    <t xml:space="preserve"> 1:0|2:1|4:2</t>
  </si>
  <si>
    <t xml:space="preserve"> 2:1|1:1|0:0</t>
  </si>
  <si>
    <t xml:space="preserve"> 1:1|0:0|0:0|1:0</t>
  </si>
  <si>
    <t xml:space="preserve"> 2:0|1:0|1:0</t>
  </si>
  <si>
    <t xml:space="preserve"> 1:1|1:1|1:0</t>
  </si>
  <si>
    <t xml:space="preserve"> 0:4|2:0|1:1</t>
  </si>
  <si>
    <t xml:space="preserve"> 0:1|1:0|2:2|1:0</t>
  </si>
  <si>
    <t xml:space="preserve"> 0:0|0:0|3:1</t>
  </si>
  <si>
    <t xml:space="preserve"> 0:1|1:2|1:0</t>
  </si>
  <si>
    <t xml:space="preserve"> 0:0|1:2|1:3</t>
  </si>
  <si>
    <t xml:space="preserve"> 0:1|1:1|1:0|1:0</t>
  </si>
  <si>
    <t xml:space="preserve"> 0:0|0:1|1:0|1:0</t>
  </si>
  <si>
    <t xml:space="preserve"> 0:1|0:0|2:0</t>
  </si>
  <si>
    <t xml:space="preserve"> 1:1|1:2|1:0|1:0</t>
  </si>
  <si>
    <t xml:space="preserve"> 0:1|0:1|1:0</t>
  </si>
  <si>
    <t xml:space="preserve"> 0:1|0:0|0:3</t>
  </si>
  <si>
    <t xml:space="preserve"> 0:0|0:0|1:0</t>
  </si>
  <si>
    <t xml:space="preserve"> 0:1|1:0|0:0|1:0</t>
  </si>
  <si>
    <t xml:space="preserve"> 1:0|1:1|0:1|1:0</t>
  </si>
  <si>
    <t xml:space="preserve"> 0:0|1:1|1:1|0:1</t>
  </si>
  <si>
    <t xml:space="preserve"> 0:0|1:0|2:0</t>
  </si>
  <si>
    <t xml:space="preserve"> 1:0|1:3|0:1</t>
  </si>
  <si>
    <t xml:space="preserve"> 2:2|0:2|0:1</t>
  </si>
  <si>
    <t xml:space="preserve"> 2:0|0:1|4:0</t>
  </si>
  <si>
    <t xml:space="preserve"> 1:0|3:1|0:0</t>
  </si>
  <si>
    <t xml:space="preserve"> 0:1|1:1|2:1|0:1</t>
  </si>
  <si>
    <t xml:space="preserve"> 1:0|1:1|1:2|1:0</t>
  </si>
  <si>
    <t xml:space="preserve"> 0:0|2:2|1:1|0:1</t>
  </si>
  <si>
    <t xml:space="preserve"> 0:0|0:0|1:2</t>
  </si>
  <si>
    <t xml:space="preserve"> 0:0|0:1|0:1</t>
  </si>
  <si>
    <t xml:space="preserve"> 0:0|2:1|0:1|0:1</t>
  </si>
  <si>
    <t xml:space="preserve"> 3:1|0:1|1:0</t>
  </si>
  <si>
    <t xml:space="preserve"> 0:0|2:1|1:0</t>
  </si>
  <si>
    <t xml:space="preserve"> 2:1|1:2|2:1</t>
  </si>
  <si>
    <t xml:space="preserve"> 0:2|2:0|1:1|0:1</t>
  </si>
  <si>
    <t xml:space="preserve"> 0:0|2:1|1:2|0:1</t>
  </si>
  <si>
    <t xml:space="preserve"> 2:0|1:1|3:2</t>
  </si>
  <si>
    <t xml:space="preserve"> 2:0|0:0|2:1</t>
  </si>
  <si>
    <t xml:space="preserve"> 1:0|1:3|1:0|1:0</t>
  </si>
  <si>
    <t xml:space="preserve"> 3:0|0:3|4:0</t>
  </si>
  <si>
    <t xml:space="preserve"> 1:0|1:3|1:0|0:1</t>
  </si>
  <si>
    <t xml:space="preserve"> 1:1|1:0|1:1</t>
  </si>
  <si>
    <t xml:space="preserve"> 1:4|0:0|2:1</t>
  </si>
  <si>
    <t xml:space="preserve"> 1:0|0:2|2:2</t>
  </si>
  <si>
    <t xml:space="preserve"> 0:0|2:1|0:0</t>
  </si>
  <si>
    <t xml:space="preserve"> 0:1|0:1|1:2</t>
  </si>
  <si>
    <t xml:space="preserve"> 0:2|0:1|2:2</t>
  </si>
  <si>
    <t xml:space="preserve"> 0:0|0:1|2:3</t>
  </si>
  <si>
    <t xml:space="preserve"> 1:0|0:1|4:0</t>
  </si>
  <si>
    <t xml:space="preserve"> 0:0|2:1|4:2</t>
  </si>
  <si>
    <t xml:space="preserve"> 1:0|2:0|2:0</t>
  </si>
  <si>
    <t xml:space="preserve"> 2:1|1:0|2:1</t>
  </si>
  <si>
    <t xml:space="preserve"> 0:2|2:0|0:0|1:0</t>
  </si>
  <si>
    <t xml:space="preserve"> 1:0|1:3|2:0</t>
  </si>
  <si>
    <t xml:space="preserve"> 2:1|0:2|1:0|0:1</t>
  </si>
  <si>
    <t xml:space="preserve"> 1:1|1:0|2:0</t>
  </si>
  <si>
    <t xml:space="preserve"> 0:1|1:0|0:2</t>
  </si>
  <si>
    <t xml:space="preserve"> 0:0|0:1|0:0</t>
  </si>
  <si>
    <t xml:space="preserve"> 1:1|0:2|1:2</t>
  </si>
  <si>
    <t xml:space="preserve"> 1:0|0:1|1:2</t>
  </si>
  <si>
    <t xml:space="preserve"> 2:1|1:2|0:0|1:0</t>
  </si>
  <si>
    <t xml:space="preserve"> 0:1|0:0|3:2|0:1</t>
  </si>
  <si>
    <t xml:space="preserve"> 2:2|0:0|0:1</t>
  </si>
  <si>
    <t xml:space="preserve"> 0:1|0:1|0:0</t>
  </si>
  <si>
    <t xml:space="preserve"> 0:1|1:2|2:1</t>
  </si>
  <si>
    <t xml:space="preserve"> 2:1|0:1|0:1</t>
  </si>
  <si>
    <t xml:space="preserve"> 2:1|2:1|1:1</t>
  </si>
  <si>
    <t xml:space="preserve"> 0:1|1:2|0:1</t>
  </si>
  <si>
    <t xml:space="preserve"> 1:1|1:2|0:3</t>
  </si>
  <si>
    <t xml:space="preserve"> 0:1|3:1|3:2</t>
  </si>
  <si>
    <t xml:space="preserve"> 0:2|2:0|1:2</t>
  </si>
  <si>
    <t xml:space="preserve"> 1:2|1:4|0:0</t>
  </si>
  <si>
    <t xml:space="preserve"> 1:0|1:1|2:0</t>
  </si>
  <si>
    <t xml:space="preserve"> 0:1|2:0|3:0</t>
  </si>
  <si>
    <t xml:space="preserve"> 1:2|1:2|1:0</t>
  </si>
  <si>
    <t xml:space="preserve"> 0:2|1:0|0:0</t>
  </si>
  <si>
    <t xml:space="preserve"> 0:0|0:2|2:0|0:1</t>
  </si>
  <si>
    <t xml:space="preserve"> 2:0|2:0|1:2</t>
  </si>
  <si>
    <t xml:space="preserve"> 2:0|3:0|2:0</t>
  </si>
  <si>
    <t xml:space="preserve"> 0:0|2:2|0:0|0:1</t>
  </si>
  <si>
    <t xml:space="preserve"> 2:1|0:0|4:1</t>
  </si>
  <si>
    <t xml:space="preserve"> 0:0|0:2|0:0</t>
  </si>
  <si>
    <t>Home_Id</t>
  </si>
  <si>
    <t>Away_Id</t>
  </si>
  <si>
    <t>Points</t>
  </si>
  <si>
    <t>Home_Goals</t>
  </si>
  <si>
    <t>Away_Goals</t>
  </si>
  <si>
    <t>Elo_Home</t>
  </si>
  <si>
    <t>Elo_Away</t>
  </si>
  <si>
    <t>Elo_Diff</t>
  </si>
  <si>
    <t>Pred</t>
  </si>
  <si>
    <t>Expected Score</t>
  </si>
  <si>
    <t>Diff</t>
  </si>
  <si>
    <t>Delta</t>
  </si>
  <si>
    <t>score-H</t>
  </si>
  <si>
    <t>score-A</t>
  </si>
  <si>
    <t>Gewinnt gegen Starken +20</t>
  </si>
  <si>
    <t>Gewinnt gegen Schwachen +0</t>
  </si>
  <si>
    <t>SVS_Home</t>
  </si>
  <si>
    <t>SVS_Away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</si>
</sst>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]hh:mm;@" x16r2:formatCode16="[$-en-CH,1]hh:mm;@"/>
  </numFmts>
  <fonts count="2">
    <font>
      <sz val="11"/>
      <color theme="1"/>
      <name val="Aptos Narrow"/>
      <family val="2"/>
      <scheme val="minor"/>
    </font>
    <font>
      <sz val="11"/>
      <color rgb="FF000000"/>
      <name val="KievitWeb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8B8788"/>
      </top>
      <bottom style="medium">
        <color rgb="FF8B8788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24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]hh:mm;@" x16r2:formatCode16="[$-en-CH,1]hh:mm;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0.1087616652085156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Sheet1!$E$2:$E$22</c:f>
              <c:numCache>
                <c:formatCode>General</c:formatCode>
                <c:ptCount val="21"/>
                <c:pt idx="0">
                  <c:v>0.35993500019711488</c:v>
                </c:pt>
                <c:pt idx="1">
                  <c:v>0.37330091833326789</c:v>
                </c:pt>
                <c:pt idx="2">
                  <c:v>0.38686317984685692</c:v>
                </c:pt>
                <c:pt idx="3">
                  <c:v>0.40060320329074317</c:v>
                </c:pt>
                <c:pt idx="4">
                  <c:v>0.41450132132819051</c:v>
                </c:pt>
                <c:pt idx="5">
                  <c:v>0.4285368825916186</c:v>
                </c:pt>
                <c:pt idx="6">
                  <c:v>0.44268836623770724</c:v>
                </c:pt>
                <c:pt idx="7">
                  <c:v>0.4569335079777882</c:v>
                </c:pt>
                <c:pt idx="8">
                  <c:v>0.47124943610773129</c:v>
                </c:pt>
                <c:pt idx="9">
                  <c:v>0.48561281583400134</c:v>
                </c:pt>
                <c:pt idx="10">
                  <c:v>0.5</c:v>
                </c:pt>
                <c:pt idx="11">
                  <c:v>0.51438718416599871</c:v>
                </c:pt>
                <c:pt idx="12">
                  <c:v>0.5287505638922686</c:v>
                </c:pt>
                <c:pt idx="13">
                  <c:v>0.54306649202221191</c:v>
                </c:pt>
                <c:pt idx="14">
                  <c:v>0.55731163376229276</c:v>
                </c:pt>
                <c:pt idx="15">
                  <c:v>0.5714631174083814</c:v>
                </c:pt>
                <c:pt idx="16">
                  <c:v>0.58549867867180949</c:v>
                </c:pt>
                <c:pt idx="17">
                  <c:v>0.59939679670925683</c:v>
                </c:pt>
                <c:pt idx="18">
                  <c:v>0.61313682015314308</c:v>
                </c:pt>
                <c:pt idx="19">
                  <c:v>0.62669908166673205</c:v>
                </c:pt>
                <c:pt idx="20">
                  <c:v>0.64006499980288512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6-47F2-9789-102B5E9A1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280640"/>
        <c:axId val="678272480"/>
      </c:lineChart>
      <c:catAx>
        <c:axId val="67828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78272480"/>
        <c:crosses val="autoZero"/>
        <c:auto val="1"/>
        <c:lblAlgn val="ctr"/>
        <c:lblOffset val="100"/>
        <c:noMultiLvlLbl val="0"/>
      </c:catAx>
      <c:valAx>
        <c:axId val="6782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7828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2</xdr:row>
      <xdr:rowOff>119062</xdr:rowOff>
    </xdr:from>
    <xdr:to>
      <xdr:col>22</xdr:col>
      <xdr:colOff>123825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CB8B2-4380-F5A5-0C9B-A8B285024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6EA01D-08A1-4B61-9B7F-E83C0421F3E3}" autoFormatId="16" applyNumberFormats="0" applyBorderFormats="0" applyFontFormats="0" applyPatternFormats="0" applyAlignmentFormats="0" applyWidthHeightFormats="0">
  <queryTableRefresh nextId="15">
    <queryTableFields count="14">
      <queryTableField id="1" name="Home" tableColumnId="1"/>
      <queryTableField id="2" name="Away" tableColumnId="2"/>
      <queryTableField id="3" name="Resultat" tableColumnId="3"/>
      <queryTableField id="4" name="OT/SO" tableColumnId="4"/>
      <queryTableField id="5" name="Zus." tableColumnId="5"/>
      <queryTableField id="6" name="Home_Id" tableColumnId="6"/>
      <queryTableField id="7" name="Away_Id" tableColumnId="7"/>
      <queryTableField id="8" name="Points" tableColumnId="8"/>
      <queryTableField id="9" name="Home_Goals" tableColumnId="9"/>
      <queryTableField id="10" name="Away_Goals" tableColumnId="10"/>
      <queryTableField id="11" name="Elo_Home" tableColumnId="11"/>
      <queryTableField id="12" name="Elo_Away" tableColumnId="12"/>
      <queryTableField id="13" name="Elo_Diff" tableColumnId="13"/>
      <queryTableField id="14" name="Pre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96A976A-BCCF-4F7F-BE77-6F256684AD6C}" autoFormatId="16" applyNumberFormats="0" applyBorderFormats="0" applyFontFormats="0" applyPatternFormats="0" applyAlignmentFormats="0" applyWidthHeightFormats="0">
  <queryTableRefresh nextId="14">
    <queryTableFields count="13">
      <queryTableField id="1" name="Home" tableColumnId="1"/>
      <queryTableField id="2" name="Away" tableColumnId="2"/>
      <queryTableField id="3" name="Resultat" tableColumnId="3"/>
      <queryTableField id="4" name="OT/SO" tableColumnId="4"/>
      <queryTableField id="5" name="Zus." tableColumnId="5"/>
      <queryTableField id="6" name="Home_Id" tableColumnId="6"/>
      <queryTableField id="7" name="Away_Id" tableColumnId="7"/>
      <queryTableField id="8" name="Points" tableColumnId="8"/>
      <queryTableField id="9" name="Home_Goals" tableColumnId="9"/>
      <queryTableField id="10" name="Away_Goals" tableColumnId="10"/>
      <queryTableField id="11" name="Elo_Home" tableColumnId="11"/>
      <queryTableField id="12" name="Elo_Away" tableColumnId="12"/>
      <queryTableField id="13" name="Elo_Diff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5EF2EE-4653-4843-91A8-BF7FDF85DE16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Tag" tableColumnId="1"/>
      <queryTableField id="2" name="Datum" tableColumnId="2"/>
      <queryTableField id="3" name="Zeit" tableColumnId="3"/>
      <queryTableField id="4" name="Home" tableColumnId="4"/>
      <queryTableField id="5" name="Away" tableColumnId="5"/>
      <queryTableField id="6" name="Resultat" tableColumnId="6"/>
      <queryTableField id="7" name="Drittel" tableColumnId="7"/>
      <queryTableField id="8" name="OT/SO" tableColumnId="8"/>
      <queryTableField id="9" name="Status" tableColumnId="9"/>
      <queryTableField id="10" name="Versch." tableColumnId="10"/>
      <queryTableField id="11" name="Stadion" tableColumnId="11"/>
      <queryTableField id="12" name="Zus." tableColumnId="12"/>
      <queryTableField id="13" name="TV/Online" tableColumnId="13"/>
      <queryTableField id="14" name="Id" tableColumnId="14"/>
      <queryTableField id="15" name="Liga" tableColumnId="15"/>
      <queryTableField id="16" name="Region" tableColumnId="16"/>
      <queryTableField id="17" name="Phase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55E129-3C7A-48F6-A0DC-10E2663DBD3F}" name="df_test" displayName="df_test" ref="A1:N85" tableType="queryTable" totalsRowShown="0">
  <autoFilter ref="A1:N85" xr:uid="{E655E129-3C7A-48F6-A0DC-10E2663DBD3F}"/>
  <tableColumns count="14">
    <tableColumn id="1" xr3:uid="{33AA50DC-B60D-4C3B-B658-434DC6F341BB}" uniqueName="1" name="Home" queryTableFieldId="1" dataDxfId="7"/>
    <tableColumn id="2" xr3:uid="{5D9BEC08-04D8-4B50-9D12-2E69C9095BF1}" uniqueName="2" name="Away" queryTableFieldId="2" dataDxfId="6"/>
    <tableColumn id="3" xr3:uid="{47E6CE78-FED7-4BF8-91A9-D5F0438C83D7}" uniqueName="3" name="Resultat" queryTableFieldId="3" dataDxfId="5"/>
    <tableColumn id="4" xr3:uid="{1DC7648F-0B53-4D76-9D00-D9E4FDD2BA80}" uniqueName="4" name="OT/SO" queryTableFieldId="4" dataDxfId="4"/>
    <tableColumn id="5" xr3:uid="{9298BE4E-CBC9-4866-8E5C-32BA352D87F5}" uniqueName="5" name="Zus." queryTableFieldId="5"/>
    <tableColumn id="6" xr3:uid="{1DA68B0F-39D6-4AB4-96D0-4AD5DFC4A7EE}" uniqueName="6" name="Home_Id" queryTableFieldId="6"/>
    <tableColumn id="7" xr3:uid="{0209C0E6-AE81-4EA5-B557-E5DEFC112A81}" uniqueName="7" name="Away_Id" queryTableFieldId="7"/>
    <tableColumn id="8" xr3:uid="{30383591-C730-4ABA-AD34-292EC1D4A7AE}" uniqueName="8" name="Points" queryTableFieldId="8"/>
    <tableColumn id="9" xr3:uid="{25F65127-D92B-45F5-BD9C-B5FBF79C3A6C}" uniqueName="9" name="Home_Goals" queryTableFieldId="9"/>
    <tableColumn id="10" xr3:uid="{F38204DC-EFD0-44D0-9BFC-A7B7598AE762}" uniqueName="10" name="Away_Goals" queryTableFieldId="10"/>
    <tableColumn id="11" xr3:uid="{C5DE948C-2A9B-4C12-9F43-EAFF026BD8B8}" uniqueName="11" name="Elo_Home" queryTableFieldId="11"/>
    <tableColumn id="12" xr3:uid="{72791C60-70D4-4C82-83A8-B40FC1D87AF2}" uniqueName="12" name="Elo_Away" queryTableFieldId="12"/>
    <tableColumn id="13" xr3:uid="{FFA8DDC1-6AFF-4F30-8504-004D5BB9CA9C}" uniqueName="13" name="Elo_Diff" queryTableFieldId="13"/>
    <tableColumn id="14" xr3:uid="{6B55F082-0006-45EE-9624-457D98A2A678}" uniqueName="14" name="Pre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69832-0438-43AA-9988-35E88F81F431}" name="elo_full" displayName="elo_full" ref="A1:M365" tableType="queryTable" totalsRowShown="0">
  <autoFilter ref="A1:M365" xr:uid="{EC469832-0438-43AA-9988-35E88F81F431}"/>
  <tableColumns count="13">
    <tableColumn id="1" xr3:uid="{3CFA40AC-1663-48A3-9DE9-7DACC23E84AC}" uniqueName="1" name="Home" queryTableFieldId="1" dataDxfId="3"/>
    <tableColumn id="2" xr3:uid="{D01E7E4C-F8BC-4AB7-AFB2-71791A1439B2}" uniqueName="2" name="Away" queryTableFieldId="2" dataDxfId="2"/>
    <tableColumn id="3" xr3:uid="{34BF8544-078E-46F8-A51F-0BF9E7FFD705}" uniqueName="3" name="Resultat" queryTableFieldId="3" dataDxfId="1"/>
    <tableColumn id="4" xr3:uid="{CA4FE587-EF50-4FD1-8856-9ECDF3EDCBF3}" uniqueName="4" name="OT/SO" queryTableFieldId="4" dataDxfId="0"/>
    <tableColumn id="5" xr3:uid="{A36E238B-67BA-4D4B-A68A-73A75B1BEE8A}" uniqueName="5" name="Zus." queryTableFieldId="5"/>
    <tableColumn id="6" xr3:uid="{A0C58673-2806-47B9-8ECD-A6E8CFE16839}" uniqueName="6" name="Home_Id" queryTableFieldId="6"/>
    <tableColumn id="7" xr3:uid="{7FC435F8-9348-4827-B6CA-69EB14F20E17}" uniqueName="7" name="Away_Id" queryTableFieldId="7"/>
    <tableColumn id="8" xr3:uid="{25081573-D993-4442-8A17-480B18A83A5F}" uniqueName="8" name="Points" queryTableFieldId="8"/>
    <tableColumn id="9" xr3:uid="{43E897AD-A0F3-44E3-BFF9-BCA186937C92}" uniqueName="9" name="Home_Goals" queryTableFieldId="9"/>
    <tableColumn id="10" xr3:uid="{76CC2632-1116-4495-ACD4-3DC2860DC4AD}" uniqueName="10" name="Away_Goals" queryTableFieldId="10"/>
    <tableColumn id="11" xr3:uid="{A726325D-3786-4818-A629-44FD78ACEA9B}" uniqueName="11" name="Elo_Home" queryTableFieldId="11"/>
    <tableColumn id="12" xr3:uid="{9FBFA9A4-4174-446A-8724-4A7BF9254817}" uniqueName="12" name="Elo_Away" queryTableFieldId="12"/>
    <tableColumn id="13" xr3:uid="{8FBF6F65-B802-4979-AEA1-CEC0514DDC94}" uniqueName="13" name="Elo_Diff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148CD-C6F5-4D3F-97FB-0A160A3E2108}" name="regular_season_2526" displayName="regular_season_2526" ref="A1:S365" tableType="queryTable" totalsRowShown="0">
  <autoFilter ref="A1:S365" xr:uid="{C29148CD-C6F5-4D3F-97FB-0A160A3E2108}"/>
  <tableColumns count="19">
    <tableColumn id="1" xr3:uid="{42067065-B050-4393-A7AF-D7EE91EE9DD2}" uniqueName="1" name="Tag" queryTableFieldId="1" dataDxfId="23"/>
    <tableColumn id="2" xr3:uid="{AE97C901-126C-42FC-963E-AC6621D4398C}" uniqueName="2" name="Datum" queryTableFieldId="2" dataDxfId="22"/>
    <tableColumn id="3" xr3:uid="{6CC208F6-7597-4B62-8A5D-D293D6863679}" uniqueName="3" name="Zeit" queryTableFieldId="3" dataDxfId="21"/>
    <tableColumn id="4" xr3:uid="{F1878E80-DB4C-4655-82A7-7A37A34F8162}" uniqueName="4" name="Home" queryTableFieldId="4" dataDxfId="20"/>
    <tableColumn id="5" xr3:uid="{2F98B3C8-059F-4780-86C4-15243DD75E6C}" uniqueName="5" name="Away" queryTableFieldId="5" dataDxfId="19"/>
    <tableColumn id="6" xr3:uid="{8A28B8AA-14B0-4EE3-AAC6-AA1D7C9FD8EB}" uniqueName="6" name="Resultat" queryTableFieldId="6" dataDxfId="18"/>
    <tableColumn id="7" xr3:uid="{2D597221-3DF9-460D-95CD-6A5B1857087E}" uniqueName="7" name="Drittel" queryTableFieldId="7" dataDxfId="17"/>
    <tableColumn id="8" xr3:uid="{6BE265CE-E7E6-431A-BA40-00C9FDF63AE5}" uniqueName="8" name="OT/SO" queryTableFieldId="8" dataDxfId="16"/>
    <tableColumn id="9" xr3:uid="{1D0FC9DD-5A1C-4A74-97E2-E76491C9E087}" uniqueName="9" name="Status" queryTableFieldId="9" dataDxfId="15"/>
    <tableColumn id="10" xr3:uid="{878E3CDC-7EEF-42E1-8D78-6301A405DD13}" uniqueName="10" name="Versch." queryTableFieldId="10"/>
    <tableColumn id="11" xr3:uid="{9AD29CB8-EFE7-42D7-ABF3-CC37D2CCFC35}" uniqueName="11" name="Stadion" queryTableFieldId="11" dataDxfId="14"/>
    <tableColumn id="12" xr3:uid="{1C9EC85D-141E-46BB-A447-12907C49FF4A}" uniqueName="12" name="Zus." queryTableFieldId="12"/>
    <tableColumn id="13" xr3:uid="{C2C9D7E2-6940-4BBD-9EAC-3FF7511AC854}" uniqueName="13" name="TV/Online" queryTableFieldId="13" dataDxfId="13"/>
    <tableColumn id="14" xr3:uid="{310B1DFF-67AA-473C-A6F4-5F70D73EEDF7}" uniqueName="14" name="Id" queryTableFieldId="14"/>
    <tableColumn id="15" xr3:uid="{3ADFC4AF-36EA-4E5E-A520-FBDC061FB4D2}" uniqueName="15" name="Liga" queryTableFieldId="15" dataDxfId="12"/>
    <tableColumn id="16" xr3:uid="{BB2F9328-8F98-4D0B-9DC5-26BE3876E169}" uniqueName="16" name="Region" queryTableFieldId="16" dataDxfId="11"/>
    <tableColumn id="17" xr3:uid="{73AFFF64-1602-48A3-B010-83AF0832A256}" uniqueName="17" name="Phase" queryTableFieldId="17" dataDxfId="10"/>
    <tableColumn id="18" xr3:uid="{24151EDC-3950-441D-BD26-0E24989F0BDF}" uniqueName="18" name="SVS_Home" queryTableFieldId="18" dataDxfId="9"/>
    <tableColumn id="19" xr3:uid="{9D0997AC-5333-43BC-9689-BBA3E20A83E1}" uniqueName="19" name="SVS_Away" queryTableFieldId="1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E8D0-0716-4045-82FA-C14D59E4FAD3}">
  <dimension ref="A1:N85"/>
  <sheetViews>
    <sheetView workbookViewId="0">
      <selection activeCell="M13" sqref="M13"/>
    </sheetView>
  </sheetViews>
  <sheetFormatPr defaultRowHeight="15"/>
  <cols>
    <col min="1" max="2" width="24.85546875" bestFit="1" customWidth="1"/>
    <col min="3" max="3" width="10.85546875" bestFit="1" customWidth="1"/>
    <col min="4" max="4" width="9" bestFit="1" customWidth="1"/>
    <col min="5" max="5" width="7" bestFit="1" customWidth="1"/>
    <col min="6" max="6" width="11.28515625" bestFit="1" customWidth="1"/>
    <col min="7" max="7" width="10.42578125" bestFit="1" customWidth="1"/>
    <col min="8" max="8" width="9" bestFit="1" customWidth="1"/>
    <col min="9" max="9" width="14.7109375" bestFit="1" customWidth="1"/>
    <col min="10" max="10" width="13.85546875" bestFit="1" customWidth="1"/>
    <col min="11" max="11" width="12.42578125" bestFit="1" customWidth="1"/>
    <col min="12" max="12" width="12" bestFit="1" customWidth="1"/>
    <col min="13" max="13" width="12.7109375" bestFit="1" customWidth="1"/>
    <col min="14" max="14" width="7.42578125" bestFit="1" customWidth="1"/>
  </cols>
  <sheetData>
    <row r="1" spans="1:14">
      <c r="A1" t="s">
        <v>3</v>
      </c>
      <c r="B1" t="s">
        <v>4</v>
      </c>
      <c r="C1" t="s">
        <v>5</v>
      </c>
      <c r="D1" t="s">
        <v>7</v>
      </c>
      <c r="E1" t="s">
        <v>11</v>
      </c>
      <c r="F1" t="s">
        <v>367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375</v>
      </c>
    </row>
    <row r="2" spans="1:14">
      <c r="A2" t="s">
        <v>42</v>
      </c>
      <c r="B2" t="s">
        <v>46</v>
      </c>
      <c r="C2" s="2">
        <v>4.3749999999999997E-2</v>
      </c>
      <c r="D2" t="s">
        <v>21</v>
      </c>
      <c r="E2">
        <v>6100</v>
      </c>
      <c r="F2">
        <v>4</v>
      </c>
      <c r="G2">
        <v>5</v>
      </c>
      <c r="H2">
        <v>0</v>
      </c>
      <c r="I2">
        <v>1</v>
      </c>
      <c r="J2">
        <v>3</v>
      </c>
      <c r="K2">
        <v>1535.4055868782114</v>
      </c>
      <c r="L2">
        <v>1541.7558367373847</v>
      </c>
      <c r="M2">
        <v>-6.3502498591733456</v>
      </c>
      <c r="N2">
        <v>1</v>
      </c>
    </row>
    <row r="3" spans="1:14">
      <c r="A3" t="s">
        <v>43</v>
      </c>
      <c r="B3" t="s">
        <v>38</v>
      </c>
      <c r="C3" s="2">
        <v>0.125</v>
      </c>
      <c r="D3" t="s">
        <v>21</v>
      </c>
      <c r="E3">
        <v>5820</v>
      </c>
      <c r="F3">
        <v>13</v>
      </c>
      <c r="G3">
        <v>3</v>
      </c>
      <c r="H3">
        <v>3</v>
      </c>
      <c r="I3">
        <v>3</v>
      </c>
      <c r="J3">
        <v>0</v>
      </c>
      <c r="K3">
        <v>1530.471412602506</v>
      </c>
      <c r="L3">
        <v>1535.800748989074</v>
      </c>
      <c r="M3">
        <v>-5.3293363865680021</v>
      </c>
      <c r="N3">
        <v>1</v>
      </c>
    </row>
    <row r="4" spans="1:14">
      <c r="A4" t="s">
        <v>51</v>
      </c>
      <c r="B4" t="s">
        <v>39</v>
      </c>
      <c r="C4" s="2">
        <v>8.611111111111111E-2</v>
      </c>
      <c r="D4" t="s">
        <v>21</v>
      </c>
      <c r="E4">
        <v>7251</v>
      </c>
      <c r="F4">
        <v>6</v>
      </c>
      <c r="G4">
        <v>8</v>
      </c>
      <c r="H4">
        <v>0</v>
      </c>
      <c r="I4">
        <v>2</v>
      </c>
      <c r="J4">
        <v>4</v>
      </c>
      <c r="K4">
        <v>1525.2204228180401</v>
      </c>
      <c r="L4">
        <v>1407.742978103857</v>
      </c>
      <c r="M4">
        <v>117.47744471418309</v>
      </c>
      <c r="N4">
        <v>3</v>
      </c>
    </row>
    <row r="5" spans="1:14">
      <c r="A5" t="s">
        <v>39</v>
      </c>
      <c r="B5" t="s">
        <v>28</v>
      </c>
      <c r="C5" s="2">
        <v>8.6805555555555552E-2</v>
      </c>
      <c r="D5" t="s">
        <v>21</v>
      </c>
      <c r="E5">
        <v>4391</v>
      </c>
      <c r="F5">
        <v>8</v>
      </c>
      <c r="G5">
        <v>1</v>
      </c>
      <c r="H5">
        <v>0</v>
      </c>
      <c r="I5">
        <v>2</v>
      </c>
      <c r="J5">
        <v>5</v>
      </c>
      <c r="K5">
        <v>1450.2088927376042</v>
      </c>
      <c r="L5">
        <v>1584.3289370933319</v>
      </c>
      <c r="M5">
        <v>-134.12004435572771</v>
      </c>
      <c r="N5">
        <v>0</v>
      </c>
    </row>
    <row r="6" spans="1:14">
      <c r="A6" t="s">
        <v>18</v>
      </c>
      <c r="B6" t="s">
        <v>19</v>
      </c>
      <c r="C6" s="2">
        <v>8.6805555555555552E-2</v>
      </c>
      <c r="D6" t="s">
        <v>21</v>
      </c>
      <c r="E6">
        <v>6495</v>
      </c>
      <c r="F6">
        <v>0</v>
      </c>
      <c r="G6">
        <v>10</v>
      </c>
      <c r="H6">
        <v>0</v>
      </c>
      <c r="I6">
        <v>2</v>
      </c>
      <c r="J6">
        <v>5</v>
      </c>
      <c r="K6">
        <v>1483.2021934209081</v>
      </c>
      <c r="L6">
        <v>1478.9340129985355</v>
      </c>
      <c r="M6">
        <v>4.2681804223725521</v>
      </c>
      <c r="N6">
        <v>1</v>
      </c>
    </row>
    <row r="7" spans="1:14">
      <c r="A7" t="s">
        <v>32</v>
      </c>
      <c r="B7" t="s">
        <v>47</v>
      </c>
      <c r="C7" s="2">
        <v>0.25069444444444444</v>
      </c>
      <c r="D7" t="s">
        <v>21</v>
      </c>
      <c r="E7">
        <v>9372</v>
      </c>
      <c r="F7">
        <v>2</v>
      </c>
      <c r="G7">
        <v>7</v>
      </c>
      <c r="H7">
        <v>3</v>
      </c>
      <c r="I7">
        <v>6</v>
      </c>
      <c r="J7">
        <v>1</v>
      </c>
      <c r="K7">
        <v>1548.6329327623187</v>
      </c>
      <c r="L7">
        <v>1431.5474858382672</v>
      </c>
      <c r="M7">
        <v>117.08544692405144</v>
      </c>
      <c r="N7">
        <v>3</v>
      </c>
    </row>
    <row r="8" spans="1:14">
      <c r="A8" t="s">
        <v>38</v>
      </c>
      <c r="B8" t="s">
        <v>51</v>
      </c>
      <c r="C8" s="2">
        <v>0.1673611111111111</v>
      </c>
      <c r="D8" t="s">
        <v>21</v>
      </c>
      <c r="E8">
        <v>7135</v>
      </c>
      <c r="F8">
        <v>3</v>
      </c>
      <c r="G8">
        <v>6</v>
      </c>
      <c r="H8">
        <v>3</v>
      </c>
      <c r="I8">
        <v>4</v>
      </c>
      <c r="J8">
        <v>1</v>
      </c>
      <c r="K8">
        <v>1554.7873793045767</v>
      </c>
      <c r="L8">
        <v>1482.7545081842929</v>
      </c>
      <c r="M8">
        <v>72.032871120283744</v>
      </c>
      <c r="N8">
        <v>3</v>
      </c>
    </row>
    <row r="9" spans="1:14">
      <c r="A9" t="s">
        <v>46</v>
      </c>
      <c r="B9" t="s">
        <v>52</v>
      </c>
      <c r="C9" s="2">
        <v>0.12777777777777777</v>
      </c>
      <c r="D9" t="s">
        <v>35</v>
      </c>
      <c r="E9">
        <v>12000</v>
      </c>
      <c r="F9">
        <v>5</v>
      </c>
      <c r="G9">
        <v>9</v>
      </c>
      <c r="H9">
        <v>1</v>
      </c>
      <c r="I9">
        <v>3</v>
      </c>
      <c r="J9">
        <v>4</v>
      </c>
      <c r="K9">
        <v>1580.7133932943045</v>
      </c>
      <c r="L9">
        <v>1467.4422344018576</v>
      </c>
      <c r="M9">
        <v>113.27115889244692</v>
      </c>
      <c r="N9">
        <v>3</v>
      </c>
    </row>
    <row r="10" spans="1:14">
      <c r="A10" t="s">
        <v>33</v>
      </c>
      <c r="B10" t="s">
        <v>43</v>
      </c>
      <c r="C10" s="2">
        <v>0.16875000000000001</v>
      </c>
      <c r="D10" t="s">
        <v>63</v>
      </c>
      <c r="E10">
        <v>6233</v>
      </c>
      <c r="F10">
        <v>11</v>
      </c>
      <c r="G10">
        <v>13</v>
      </c>
      <c r="H10">
        <v>2</v>
      </c>
      <c r="I10">
        <v>4</v>
      </c>
      <c r="J10">
        <v>3</v>
      </c>
      <c r="K10">
        <v>1623.4177586227484</v>
      </c>
      <c r="L10">
        <v>1511.4847822870033</v>
      </c>
      <c r="M10">
        <v>111.93297633574502</v>
      </c>
      <c r="N10">
        <v>3</v>
      </c>
    </row>
    <row r="11" spans="1:14">
      <c r="A11" t="s">
        <v>29</v>
      </c>
      <c r="B11" t="s">
        <v>42</v>
      </c>
      <c r="C11" s="2">
        <v>0.12777777777777777</v>
      </c>
      <c r="D11" t="s">
        <v>35</v>
      </c>
      <c r="E11">
        <v>9600</v>
      </c>
      <c r="F11">
        <v>12</v>
      </c>
      <c r="G11">
        <v>4</v>
      </c>
      <c r="H11">
        <v>1</v>
      </c>
      <c r="I11">
        <v>3</v>
      </c>
      <c r="J11">
        <v>4</v>
      </c>
      <c r="K11">
        <v>1516.097458732959</v>
      </c>
      <c r="L11">
        <v>1496.4480303212915</v>
      </c>
      <c r="M11">
        <v>19.649428411667486</v>
      </c>
      <c r="N11">
        <v>1</v>
      </c>
    </row>
    <row r="12" spans="1:14">
      <c r="A12" t="s">
        <v>18</v>
      </c>
      <c r="B12" t="s">
        <v>46</v>
      </c>
      <c r="C12" s="2">
        <v>8.611111111111111E-2</v>
      </c>
      <c r="D12" t="s">
        <v>21</v>
      </c>
      <c r="E12">
        <v>6500</v>
      </c>
      <c r="F12">
        <v>0</v>
      </c>
      <c r="G12">
        <v>5</v>
      </c>
      <c r="H12">
        <v>0</v>
      </c>
      <c r="I12">
        <v>2</v>
      </c>
      <c r="J12">
        <v>4</v>
      </c>
      <c r="K12">
        <v>1473.9414635358567</v>
      </c>
      <c r="L12">
        <v>1548.3615184397843</v>
      </c>
      <c r="M12">
        <v>-74.420054903927621</v>
      </c>
      <c r="N12">
        <v>0</v>
      </c>
    </row>
    <row r="13" spans="1:14">
      <c r="A13" t="s">
        <v>32</v>
      </c>
      <c r="B13" t="s">
        <v>33</v>
      </c>
      <c r="C13" s="2">
        <v>0.12638888888888888</v>
      </c>
      <c r="D13" t="s">
        <v>63</v>
      </c>
      <c r="E13">
        <v>9372</v>
      </c>
      <c r="F13">
        <v>2</v>
      </c>
      <c r="G13">
        <v>11</v>
      </c>
      <c r="H13">
        <v>2</v>
      </c>
      <c r="I13">
        <v>3</v>
      </c>
      <c r="J13">
        <v>2</v>
      </c>
      <c r="K13">
        <v>1556.1776176111971</v>
      </c>
      <c r="L13">
        <v>1581.1023021268547</v>
      </c>
      <c r="M13">
        <v>-24.924684515657646</v>
      </c>
      <c r="N13">
        <v>1</v>
      </c>
    </row>
    <row r="14" spans="1:14">
      <c r="A14" t="s">
        <v>19</v>
      </c>
      <c r="B14" t="s">
        <v>51</v>
      </c>
      <c r="C14" s="2">
        <v>4.3055555555555555E-2</v>
      </c>
      <c r="D14" t="s">
        <v>21</v>
      </c>
      <c r="E14">
        <v>5031</v>
      </c>
      <c r="F14">
        <v>10</v>
      </c>
      <c r="G14">
        <v>6</v>
      </c>
      <c r="H14">
        <v>0</v>
      </c>
      <c r="I14">
        <v>1</v>
      </c>
      <c r="J14">
        <v>2</v>
      </c>
      <c r="K14">
        <v>1518.194742883587</v>
      </c>
      <c r="L14">
        <v>1473.958443493</v>
      </c>
      <c r="M14">
        <v>44.236299390586964</v>
      </c>
      <c r="N14">
        <v>3</v>
      </c>
    </row>
    <row r="15" spans="1:14">
      <c r="A15" t="s">
        <v>29</v>
      </c>
      <c r="B15" t="s">
        <v>47</v>
      </c>
      <c r="C15" s="2">
        <v>8.4027777777777785E-2</v>
      </c>
      <c r="D15" t="s">
        <v>35</v>
      </c>
      <c r="E15">
        <v>9600</v>
      </c>
      <c r="F15">
        <v>12</v>
      </c>
      <c r="G15">
        <v>7</v>
      </c>
      <c r="H15">
        <v>2</v>
      </c>
      <c r="I15">
        <v>2</v>
      </c>
      <c r="J15">
        <v>1</v>
      </c>
      <c r="K15">
        <v>1516.3952840271877</v>
      </c>
      <c r="L15">
        <v>1424.0028009893888</v>
      </c>
      <c r="M15">
        <v>92.392483037798911</v>
      </c>
      <c r="N15">
        <v>3</v>
      </c>
    </row>
    <row r="16" spans="1:14">
      <c r="A16" t="s">
        <v>42</v>
      </c>
      <c r="B16" t="s">
        <v>52</v>
      </c>
      <c r="C16" s="2">
        <v>1.3888888888888889E-3</v>
      </c>
      <c r="D16" t="s">
        <v>21</v>
      </c>
      <c r="E16">
        <v>5560</v>
      </c>
      <c r="F16">
        <v>4</v>
      </c>
      <c r="G16">
        <v>9</v>
      </c>
      <c r="H16">
        <v>0</v>
      </c>
      <c r="I16">
        <v>0</v>
      </c>
      <c r="J16">
        <v>2</v>
      </c>
      <c r="K16">
        <v>1526.1502050270628</v>
      </c>
      <c r="L16">
        <v>1469.7941092563779</v>
      </c>
      <c r="M16">
        <v>56.356095770684988</v>
      </c>
      <c r="N16">
        <v>3</v>
      </c>
    </row>
    <row r="17" spans="1:14">
      <c r="A17" t="s">
        <v>43</v>
      </c>
      <c r="B17" t="s">
        <v>39</v>
      </c>
      <c r="C17" s="2">
        <v>8.5416666666666669E-2</v>
      </c>
      <c r="D17" t="s">
        <v>35</v>
      </c>
      <c r="E17">
        <v>5905</v>
      </c>
      <c r="F17">
        <v>13</v>
      </c>
      <c r="G17">
        <v>8</v>
      </c>
      <c r="H17">
        <v>1</v>
      </c>
      <c r="I17">
        <v>2</v>
      </c>
      <c r="J17">
        <v>3</v>
      </c>
      <c r="K17">
        <v>1553.8002387828969</v>
      </c>
      <c r="L17">
        <v>1414.6100591618667</v>
      </c>
      <c r="M17">
        <v>139.19017962103021</v>
      </c>
      <c r="N17">
        <v>3</v>
      </c>
    </row>
    <row r="18" spans="1:14">
      <c r="A18" t="s">
        <v>39</v>
      </c>
      <c r="B18" t="s">
        <v>19</v>
      </c>
      <c r="C18" s="2">
        <v>0.16805555555555557</v>
      </c>
      <c r="D18" t="s">
        <v>21</v>
      </c>
      <c r="E18">
        <v>4422</v>
      </c>
      <c r="F18">
        <v>8</v>
      </c>
      <c r="G18">
        <v>10</v>
      </c>
      <c r="H18">
        <v>3</v>
      </c>
      <c r="I18">
        <v>4</v>
      </c>
      <c r="J18">
        <v>2</v>
      </c>
      <c r="K18">
        <v>1447.65326765993</v>
      </c>
      <c r="L18">
        <v>1477.7852184180031</v>
      </c>
      <c r="M18">
        <v>-30.131950758073117</v>
      </c>
      <c r="N18">
        <v>0</v>
      </c>
    </row>
    <row r="19" spans="1:14">
      <c r="A19" t="s">
        <v>52</v>
      </c>
      <c r="B19" t="s">
        <v>29</v>
      </c>
      <c r="C19" s="2">
        <v>0.12569444444444444</v>
      </c>
      <c r="D19" t="s">
        <v>21</v>
      </c>
      <c r="E19">
        <v>16501</v>
      </c>
      <c r="F19">
        <v>9</v>
      </c>
      <c r="G19">
        <v>12</v>
      </c>
      <c r="H19">
        <v>3</v>
      </c>
      <c r="I19">
        <v>3</v>
      </c>
      <c r="J19">
        <v>1</v>
      </c>
      <c r="K19">
        <v>1510.5512468925172</v>
      </c>
      <c r="L19">
        <v>1474.6185424397934</v>
      </c>
      <c r="M19">
        <v>35.932704452723783</v>
      </c>
      <c r="N19">
        <v>3</v>
      </c>
    </row>
    <row r="20" spans="1:14">
      <c r="A20" t="s">
        <v>47</v>
      </c>
      <c r="B20" t="s">
        <v>42</v>
      </c>
      <c r="C20" s="2">
        <v>0.21111111111111111</v>
      </c>
      <c r="D20" t="s">
        <v>21</v>
      </c>
      <c r="E20">
        <v>6033</v>
      </c>
      <c r="F20">
        <v>7</v>
      </c>
      <c r="G20">
        <v>4</v>
      </c>
      <c r="H20">
        <v>3</v>
      </c>
      <c r="I20">
        <v>5</v>
      </c>
      <c r="J20">
        <v>4</v>
      </c>
      <c r="K20">
        <v>1465.7795425767831</v>
      </c>
      <c r="L20">
        <v>1485.3930673909235</v>
      </c>
      <c r="M20">
        <v>-19.613524814140419</v>
      </c>
      <c r="N20">
        <v>1</v>
      </c>
    </row>
    <row r="21" spans="1:14">
      <c r="A21" t="s">
        <v>33</v>
      </c>
      <c r="B21" t="s">
        <v>28</v>
      </c>
      <c r="C21" s="2">
        <v>4.4444444444444446E-2</v>
      </c>
      <c r="D21" t="s">
        <v>21</v>
      </c>
      <c r="E21">
        <v>6614</v>
      </c>
      <c r="F21">
        <v>11</v>
      </c>
      <c r="G21">
        <v>1</v>
      </c>
      <c r="H21">
        <v>0</v>
      </c>
      <c r="I21">
        <v>1</v>
      </c>
      <c r="J21">
        <v>4</v>
      </c>
      <c r="K21">
        <v>1619.5344814772341</v>
      </c>
      <c r="L21">
        <v>1589.9277706690693</v>
      </c>
      <c r="M21">
        <v>29.606710808164735</v>
      </c>
      <c r="N21">
        <v>3</v>
      </c>
    </row>
    <row r="22" spans="1:14">
      <c r="A22" t="s">
        <v>46</v>
      </c>
      <c r="B22" t="s">
        <v>32</v>
      </c>
      <c r="C22" s="2">
        <v>0.12777777777777777</v>
      </c>
      <c r="D22" t="s">
        <v>63</v>
      </c>
      <c r="E22">
        <v>12000</v>
      </c>
      <c r="F22">
        <v>5</v>
      </c>
      <c r="G22">
        <v>2</v>
      </c>
      <c r="H22">
        <v>1</v>
      </c>
      <c r="I22">
        <v>3</v>
      </c>
      <c r="J22">
        <v>4</v>
      </c>
      <c r="K22">
        <v>1585.4434049039583</v>
      </c>
      <c r="L22">
        <v>1517.7454382608178</v>
      </c>
      <c r="M22">
        <v>67.697966643140489</v>
      </c>
      <c r="N22">
        <v>3</v>
      </c>
    </row>
    <row r="23" spans="1:14">
      <c r="A23" t="s">
        <v>51</v>
      </c>
      <c r="B23" t="s">
        <v>43</v>
      </c>
      <c r="C23" s="2">
        <v>0.12569444444444444</v>
      </c>
      <c r="D23" t="s">
        <v>21</v>
      </c>
      <c r="E23">
        <v>7429</v>
      </c>
      <c r="F23">
        <v>6</v>
      </c>
      <c r="G23">
        <v>13</v>
      </c>
      <c r="H23">
        <v>3</v>
      </c>
      <c r="I23">
        <v>3</v>
      </c>
      <c r="J23">
        <v>1</v>
      </c>
      <c r="K23">
        <v>1514.3679679585839</v>
      </c>
      <c r="L23">
        <v>1520.7570302848337</v>
      </c>
      <c r="M23">
        <v>-6.3890623262498139</v>
      </c>
      <c r="N23">
        <v>1</v>
      </c>
    </row>
    <row r="24" spans="1:14">
      <c r="A24" t="s">
        <v>38</v>
      </c>
      <c r="B24" t="s">
        <v>18</v>
      </c>
      <c r="C24" s="2">
        <v>0.12777777777777777</v>
      </c>
      <c r="D24" t="s">
        <v>35</v>
      </c>
      <c r="E24">
        <v>5938</v>
      </c>
      <c r="F24">
        <v>3</v>
      </c>
      <c r="G24">
        <v>0</v>
      </c>
      <c r="H24">
        <v>1</v>
      </c>
      <c r="I24">
        <v>3</v>
      </c>
      <c r="J24">
        <v>4</v>
      </c>
      <c r="K24">
        <v>1563.5834439958696</v>
      </c>
      <c r="L24">
        <v>1436.8595770716827</v>
      </c>
      <c r="M24">
        <v>126.72386692418695</v>
      </c>
      <c r="N24">
        <v>3</v>
      </c>
    </row>
    <row r="25" spans="1:14">
      <c r="A25" t="s">
        <v>47</v>
      </c>
      <c r="B25" t="s">
        <v>39</v>
      </c>
      <c r="C25" s="2">
        <v>0.25208333333333333</v>
      </c>
      <c r="D25" t="s">
        <v>21</v>
      </c>
      <c r="E25">
        <v>6131</v>
      </c>
      <c r="F25">
        <v>7</v>
      </c>
      <c r="G25">
        <v>8</v>
      </c>
      <c r="H25">
        <v>3</v>
      </c>
      <c r="I25">
        <v>6</v>
      </c>
      <c r="J25">
        <v>3</v>
      </c>
      <c r="K25">
        <v>1477.1979067796753</v>
      </c>
      <c r="L25">
        <v>1429.3669277924384</v>
      </c>
      <c r="M25">
        <v>47.830978987236904</v>
      </c>
      <c r="N25">
        <v>3</v>
      </c>
    </row>
    <row r="26" spans="1:14">
      <c r="A26" t="s">
        <v>28</v>
      </c>
      <c r="B26" t="s">
        <v>51</v>
      </c>
      <c r="C26" s="2">
        <v>0.1673611111111111</v>
      </c>
      <c r="D26" t="s">
        <v>21</v>
      </c>
      <c r="E26">
        <v>6076</v>
      </c>
      <c r="F26">
        <v>1</v>
      </c>
      <c r="G26">
        <v>6</v>
      </c>
      <c r="H26">
        <v>3</v>
      </c>
      <c r="I26">
        <v>4</v>
      </c>
      <c r="J26">
        <v>1</v>
      </c>
      <c r="K26">
        <v>1629.9164509010247</v>
      </c>
      <c r="L26">
        <v>1495.411516361861</v>
      </c>
      <c r="M26">
        <v>134.50493453916374</v>
      </c>
      <c r="N26">
        <v>3</v>
      </c>
    </row>
    <row r="27" spans="1:14">
      <c r="A27" t="s">
        <v>32</v>
      </c>
      <c r="B27" t="s">
        <v>18</v>
      </c>
      <c r="C27" s="2">
        <v>0.16875000000000001</v>
      </c>
      <c r="D27" t="s">
        <v>35</v>
      </c>
      <c r="E27">
        <v>9372</v>
      </c>
      <c r="F27">
        <v>2</v>
      </c>
      <c r="G27">
        <v>0</v>
      </c>
      <c r="H27">
        <v>2</v>
      </c>
      <c r="I27">
        <v>4</v>
      </c>
      <c r="J27">
        <v>3</v>
      </c>
      <c r="K27">
        <v>1548.8262348791081</v>
      </c>
      <c r="L27">
        <v>1439.5737543974681</v>
      </c>
      <c r="M27">
        <v>109.25248048164008</v>
      </c>
      <c r="N27">
        <v>3</v>
      </c>
    </row>
    <row r="28" spans="1:14">
      <c r="A28" t="s">
        <v>19</v>
      </c>
      <c r="B28" t="s">
        <v>46</v>
      </c>
      <c r="C28" s="2">
        <v>8.611111111111111E-2</v>
      </c>
      <c r="D28" t="s">
        <v>21</v>
      </c>
      <c r="E28">
        <v>6296</v>
      </c>
      <c r="F28">
        <v>10</v>
      </c>
      <c r="G28">
        <v>5</v>
      </c>
      <c r="H28">
        <v>0</v>
      </c>
      <c r="I28">
        <v>2</v>
      </c>
      <c r="J28">
        <v>4</v>
      </c>
      <c r="K28">
        <v>1496.0715582854946</v>
      </c>
      <c r="L28">
        <v>1554.3626082856679</v>
      </c>
      <c r="M28">
        <v>-58.2910500001733</v>
      </c>
      <c r="N28">
        <v>0</v>
      </c>
    </row>
    <row r="29" spans="1:14">
      <c r="A29" t="s">
        <v>33</v>
      </c>
      <c r="B29" t="s">
        <v>42</v>
      </c>
      <c r="C29" s="2">
        <v>0.29375000000000001</v>
      </c>
      <c r="D29" t="s">
        <v>21</v>
      </c>
      <c r="E29">
        <v>5072</v>
      </c>
      <c r="F29">
        <v>11</v>
      </c>
      <c r="G29">
        <v>4</v>
      </c>
      <c r="H29">
        <v>3</v>
      </c>
      <c r="I29">
        <v>7</v>
      </c>
      <c r="J29">
        <v>3</v>
      </c>
      <c r="K29">
        <v>1609.5458012452787</v>
      </c>
      <c r="L29">
        <v>1473.9747031880313</v>
      </c>
      <c r="M29">
        <v>135.57109805724735</v>
      </c>
      <c r="N29">
        <v>3</v>
      </c>
    </row>
    <row r="30" spans="1:14">
      <c r="A30" t="s">
        <v>43</v>
      </c>
      <c r="B30" t="s">
        <v>52</v>
      </c>
      <c r="C30" s="2">
        <v>0.12777777777777777</v>
      </c>
      <c r="D30" t="s">
        <v>35</v>
      </c>
      <c r="E30">
        <v>6000</v>
      </c>
      <c r="F30">
        <v>13</v>
      </c>
      <c r="G30">
        <v>9</v>
      </c>
      <c r="H30">
        <v>1</v>
      </c>
      <c r="I30">
        <v>3</v>
      </c>
      <c r="J30">
        <v>4</v>
      </c>
      <c r="K30">
        <v>1539.7134818815566</v>
      </c>
      <c r="L30">
        <v>1490.3805065265608</v>
      </c>
      <c r="M30">
        <v>49.332975354995824</v>
      </c>
      <c r="N30">
        <v>3</v>
      </c>
    </row>
    <row r="31" spans="1:14">
      <c r="A31" t="s">
        <v>18</v>
      </c>
      <c r="B31" t="s">
        <v>33</v>
      </c>
      <c r="C31" s="2">
        <v>0.12638888888888888</v>
      </c>
      <c r="D31" t="s">
        <v>21</v>
      </c>
      <c r="E31">
        <v>6775</v>
      </c>
      <c r="F31">
        <v>0</v>
      </c>
      <c r="G31">
        <v>11</v>
      </c>
      <c r="H31">
        <v>3</v>
      </c>
      <c r="I31">
        <v>3</v>
      </c>
      <c r="J31">
        <v>2</v>
      </c>
      <c r="K31">
        <v>1481.8160671281457</v>
      </c>
      <c r="L31">
        <v>1586.5974085286762</v>
      </c>
      <c r="M31">
        <v>-104.78134140053044</v>
      </c>
      <c r="N31">
        <v>0</v>
      </c>
    </row>
    <row r="32" spans="1:14">
      <c r="A32" t="s">
        <v>38</v>
      </c>
      <c r="B32" t="s">
        <v>32</v>
      </c>
      <c r="C32" s="2">
        <v>0.12847222222222221</v>
      </c>
      <c r="D32" t="s">
        <v>21</v>
      </c>
      <c r="E32">
        <v>7135</v>
      </c>
      <c r="F32">
        <v>3</v>
      </c>
      <c r="G32">
        <v>2</v>
      </c>
      <c r="H32">
        <v>0</v>
      </c>
      <c r="I32">
        <v>3</v>
      </c>
      <c r="J32">
        <v>5</v>
      </c>
      <c r="K32">
        <v>1560.8692666700842</v>
      </c>
      <c r="L32">
        <v>1506.5839221484305</v>
      </c>
      <c r="M32">
        <v>54.285344521653769</v>
      </c>
      <c r="N32">
        <v>3</v>
      </c>
    </row>
    <row r="33" spans="1:14">
      <c r="A33" t="s">
        <v>42</v>
      </c>
      <c r="B33" t="s">
        <v>28</v>
      </c>
      <c r="C33" s="2">
        <v>0.12777777777777777</v>
      </c>
      <c r="D33" t="s">
        <v>21</v>
      </c>
      <c r="E33">
        <v>6025</v>
      </c>
      <c r="F33">
        <v>4</v>
      </c>
      <c r="G33">
        <v>1</v>
      </c>
      <c r="H33">
        <v>0</v>
      </c>
      <c r="I33">
        <v>3</v>
      </c>
      <c r="J33">
        <v>4</v>
      </c>
      <c r="K33">
        <v>1496.9230959046338</v>
      </c>
      <c r="L33">
        <v>1606.9961025259252</v>
      </c>
      <c r="M33">
        <v>-110.07300662129137</v>
      </c>
      <c r="N33">
        <v>0</v>
      </c>
    </row>
    <row r="34" spans="1:14">
      <c r="A34" t="s">
        <v>47</v>
      </c>
      <c r="B34" t="s">
        <v>46</v>
      </c>
      <c r="C34" s="2">
        <v>4.5138888888888888E-2</v>
      </c>
      <c r="D34" t="s">
        <v>21</v>
      </c>
      <c r="E34">
        <v>6382</v>
      </c>
      <c r="F34">
        <v>7</v>
      </c>
      <c r="G34">
        <v>5</v>
      </c>
      <c r="H34">
        <v>0</v>
      </c>
      <c r="I34">
        <v>1</v>
      </c>
      <c r="J34">
        <v>5</v>
      </c>
      <c r="K34">
        <v>1486.6851400651969</v>
      </c>
      <c r="L34">
        <v>1561.8747128950602</v>
      </c>
      <c r="M34">
        <v>-75.189572829863209</v>
      </c>
      <c r="N34">
        <v>0</v>
      </c>
    </row>
    <row r="35" spans="1:14">
      <c r="A35" t="s">
        <v>28</v>
      </c>
      <c r="B35" t="s">
        <v>52</v>
      </c>
      <c r="C35" s="2">
        <v>8.4027777777777785E-2</v>
      </c>
      <c r="D35" t="s">
        <v>21</v>
      </c>
      <c r="E35">
        <v>6547</v>
      </c>
      <c r="F35">
        <v>1</v>
      </c>
      <c r="G35">
        <v>9</v>
      </c>
      <c r="H35">
        <v>3</v>
      </c>
      <c r="I35">
        <v>2</v>
      </c>
      <c r="J35">
        <v>1</v>
      </c>
      <c r="K35">
        <v>1643.1695857110738</v>
      </c>
      <c r="L35">
        <v>1490.936380680321</v>
      </c>
      <c r="M35">
        <v>152.23320503075274</v>
      </c>
      <c r="N35">
        <v>3</v>
      </c>
    </row>
    <row r="36" spans="1:14">
      <c r="A36" t="s">
        <v>32</v>
      </c>
      <c r="B36" t="s">
        <v>19</v>
      </c>
      <c r="C36" s="2">
        <v>0.12638888888888888</v>
      </c>
      <c r="D36" t="s">
        <v>35</v>
      </c>
      <c r="E36">
        <v>9372</v>
      </c>
      <c r="F36">
        <v>2</v>
      </c>
      <c r="G36">
        <v>10</v>
      </c>
      <c r="H36">
        <v>2</v>
      </c>
      <c r="I36">
        <v>3</v>
      </c>
      <c r="J36">
        <v>2</v>
      </c>
      <c r="K36">
        <v>1547.2817743885796</v>
      </c>
      <c r="L36">
        <v>1458.5594536761023</v>
      </c>
      <c r="M36">
        <v>88.722320712477313</v>
      </c>
      <c r="N36">
        <v>3</v>
      </c>
    </row>
    <row r="37" spans="1:14">
      <c r="A37" t="s">
        <v>51</v>
      </c>
      <c r="B37" t="s">
        <v>29</v>
      </c>
      <c r="C37" s="2">
        <v>4.4444444444444446E-2</v>
      </c>
      <c r="D37" t="s">
        <v>21</v>
      </c>
      <c r="E37">
        <v>7371</v>
      </c>
      <c r="F37">
        <v>6</v>
      </c>
      <c r="G37">
        <v>12</v>
      </c>
      <c r="H37">
        <v>0</v>
      </c>
      <c r="I37">
        <v>1</v>
      </c>
      <c r="J37">
        <v>4</v>
      </c>
      <c r="K37">
        <v>1518.3318647369606</v>
      </c>
      <c r="L37">
        <v>1464.7892828057497</v>
      </c>
      <c r="M37">
        <v>53.542581931210862</v>
      </c>
      <c r="N37">
        <v>3</v>
      </c>
    </row>
    <row r="38" spans="1:14">
      <c r="A38" t="s">
        <v>39</v>
      </c>
      <c r="B38" t="s">
        <v>42</v>
      </c>
      <c r="C38" s="2">
        <v>8.6805555555555552E-2</v>
      </c>
      <c r="D38" t="s">
        <v>21</v>
      </c>
      <c r="E38">
        <v>4153</v>
      </c>
      <c r="F38">
        <v>8</v>
      </c>
      <c r="G38">
        <v>4</v>
      </c>
      <c r="H38">
        <v>0</v>
      </c>
      <c r="I38">
        <v>2</v>
      </c>
      <c r="J38">
        <v>5</v>
      </c>
      <c r="K38">
        <v>1449.8796945069168</v>
      </c>
      <c r="L38">
        <v>1460.7496127194852</v>
      </c>
      <c r="M38">
        <v>-10.869918212568336</v>
      </c>
      <c r="N38">
        <v>1</v>
      </c>
    </row>
    <row r="39" spans="1:14">
      <c r="A39" t="s">
        <v>46</v>
      </c>
      <c r="B39" t="s">
        <v>51</v>
      </c>
      <c r="C39" s="2">
        <v>8.611111111111111E-2</v>
      </c>
      <c r="D39" t="s">
        <v>21</v>
      </c>
      <c r="E39">
        <v>12000</v>
      </c>
      <c r="F39">
        <v>5</v>
      </c>
      <c r="G39">
        <v>6</v>
      </c>
      <c r="H39">
        <v>0</v>
      </c>
      <c r="I39">
        <v>2</v>
      </c>
      <c r="J39">
        <v>4</v>
      </c>
      <c r="K39">
        <v>1598.9363500045067</v>
      </c>
      <c r="L39">
        <v>1477.6552899521782</v>
      </c>
      <c r="M39">
        <v>121.28106005232848</v>
      </c>
      <c r="N39">
        <v>3</v>
      </c>
    </row>
    <row r="40" spans="1:14">
      <c r="A40" t="s">
        <v>33</v>
      </c>
      <c r="B40" t="s">
        <v>38</v>
      </c>
      <c r="C40" s="2">
        <v>0.20902777777777778</v>
      </c>
      <c r="D40" t="s">
        <v>21</v>
      </c>
      <c r="E40">
        <v>5602</v>
      </c>
      <c r="F40">
        <v>11</v>
      </c>
      <c r="G40">
        <v>3</v>
      </c>
      <c r="H40">
        <v>3</v>
      </c>
      <c r="I40">
        <v>5</v>
      </c>
      <c r="J40">
        <v>1</v>
      </c>
      <c r="K40">
        <v>1602.9016489784196</v>
      </c>
      <c r="L40">
        <v>1520.1714144299351</v>
      </c>
      <c r="M40">
        <v>82.730234548484532</v>
      </c>
      <c r="N40">
        <v>3</v>
      </c>
    </row>
    <row r="41" spans="1:14">
      <c r="A41" t="s">
        <v>43</v>
      </c>
      <c r="B41" t="s">
        <v>18</v>
      </c>
      <c r="C41" s="2">
        <v>0.25208333333333333</v>
      </c>
      <c r="D41" t="s">
        <v>21</v>
      </c>
      <c r="E41">
        <v>6000</v>
      </c>
      <c r="F41">
        <v>13</v>
      </c>
      <c r="G41">
        <v>0</v>
      </c>
      <c r="H41">
        <v>3</v>
      </c>
      <c r="I41">
        <v>6</v>
      </c>
      <c r="J41">
        <v>3</v>
      </c>
      <c r="K41">
        <v>1539.1576077277964</v>
      </c>
      <c r="L41">
        <v>1465.5118266784023</v>
      </c>
      <c r="M41">
        <v>73.645781049394145</v>
      </c>
      <c r="N41">
        <v>3</v>
      </c>
    </row>
    <row r="42" spans="1:14">
      <c r="A42" t="s">
        <v>52</v>
      </c>
      <c r="B42" t="s">
        <v>39</v>
      </c>
      <c r="C42" s="2">
        <v>0.20833333333333334</v>
      </c>
      <c r="D42" t="s">
        <v>21</v>
      </c>
      <c r="E42">
        <v>17031</v>
      </c>
      <c r="F42">
        <v>9</v>
      </c>
      <c r="G42">
        <v>8</v>
      </c>
      <c r="H42">
        <v>3</v>
      </c>
      <c r="I42">
        <v>5</v>
      </c>
      <c r="J42">
        <v>0</v>
      </c>
      <c r="K42">
        <v>1514.3162265786</v>
      </c>
      <c r="L42">
        <v>1411.0506293349604</v>
      </c>
      <c r="M42">
        <v>103.2655972436396</v>
      </c>
      <c r="N42">
        <v>3</v>
      </c>
    </row>
    <row r="43" spans="1:14">
      <c r="A43" t="s">
        <v>19</v>
      </c>
      <c r="B43" t="s">
        <v>47</v>
      </c>
      <c r="C43" s="2">
        <v>0.12638888888888888</v>
      </c>
      <c r="D43" t="s">
        <v>35</v>
      </c>
      <c r="E43">
        <v>6189</v>
      </c>
      <c r="F43">
        <v>10</v>
      </c>
      <c r="G43">
        <v>7</v>
      </c>
      <c r="H43">
        <v>2</v>
      </c>
      <c r="I43">
        <v>3</v>
      </c>
      <c r="J43">
        <v>2</v>
      </c>
      <c r="K43">
        <v>1500.2337056734125</v>
      </c>
      <c r="L43">
        <v>1449.6235029557504</v>
      </c>
      <c r="M43">
        <v>50.610202717662105</v>
      </c>
      <c r="N43">
        <v>3</v>
      </c>
    </row>
    <row r="44" spans="1:14">
      <c r="A44" t="s">
        <v>28</v>
      </c>
      <c r="B44" t="s">
        <v>32</v>
      </c>
      <c r="C44" s="2">
        <v>0.20972222222222223</v>
      </c>
      <c r="D44" t="s">
        <v>21</v>
      </c>
      <c r="E44">
        <v>6547</v>
      </c>
      <c r="F44">
        <v>1</v>
      </c>
      <c r="G44">
        <v>2</v>
      </c>
      <c r="H44">
        <v>3</v>
      </c>
      <c r="I44">
        <v>5</v>
      </c>
      <c r="J44">
        <v>2</v>
      </c>
      <c r="K44">
        <v>1649.7897398127948</v>
      </c>
      <c r="L44">
        <v>1505.6075223912694</v>
      </c>
      <c r="M44">
        <v>144.18221742152537</v>
      </c>
      <c r="N44">
        <v>3</v>
      </c>
    </row>
    <row r="45" spans="1:14">
      <c r="A45" t="s">
        <v>18</v>
      </c>
      <c r="B45" t="s">
        <v>29</v>
      </c>
      <c r="C45" s="2">
        <v>0.12638888888888888</v>
      </c>
      <c r="D45" t="s">
        <v>35</v>
      </c>
      <c r="E45">
        <v>6093</v>
      </c>
      <c r="F45">
        <v>0</v>
      </c>
      <c r="G45">
        <v>12</v>
      </c>
      <c r="H45">
        <v>2</v>
      </c>
      <c r="I45">
        <v>3</v>
      </c>
      <c r="J45">
        <v>2</v>
      </c>
      <c r="K45">
        <v>1486.7614864954398</v>
      </c>
      <c r="L45">
        <v>1475.4658575905321</v>
      </c>
      <c r="M45">
        <v>11.295628904907744</v>
      </c>
      <c r="N45">
        <v>1</v>
      </c>
    </row>
    <row r="46" spans="1:14">
      <c r="A46" t="s">
        <v>52</v>
      </c>
      <c r="B46" t="s">
        <v>19</v>
      </c>
      <c r="C46" s="2">
        <v>4.3055555555555555E-2</v>
      </c>
      <c r="D46" t="s">
        <v>35</v>
      </c>
      <c r="E46">
        <v>14789</v>
      </c>
      <c r="F46">
        <v>9</v>
      </c>
      <c r="G46">
        <v>10</v>
      </c>
      <c r="H46">
        <v>1</v>
      </c>
      <c r="I46">
        <v>1</v>
      </c>
      <c r="J46">
        <v>2</v>
      </c>
      <c r="K46">
        <v>1522.2381846535959</v>
      </c>
      <c r="L46">
        <v>1459.6411912052836</v>
      </c>
      <c r="M46">
        <v>62.596993448312332</v>
      </c>
      <c r="N46">
        <v>3</v>
      </c>
    </row>
    <row r="47" spans="1:14">
      <c r="A47" t="s">
        <v>28</v>
      </c>
      <c r="B47" t="s">
        <v>43</v>
      </c>
      <c r="C47" s="2">
        <v>0.16875000000000001</v>
      </c>
      <c r="D47" t="s">
        <v>21</v>
      </c>
      <c r="E47">
        <v>6130</v>
      </c>
      <c r="F47">
        <v>1</v>
      </c>
      <c r="G47">
        <v>13</v>
      </c>
      <c r="H47">
        <v>3</v>
      </c>
      <c r="I47">
        <v>4</v>
      </c>
      <c r="J47">
        <v>3</v>
      </c>
      <c r="K47">
        <v>1656.6167320000022</v>
      </c>
      <c r="L47">
        <v>1517.9079479107588</v>
      </c>
      <c r="M47">
        <v>138.70878408924341</v>
      </c>
      <c r="N47">
        <v>3</v>
      </c>
    </row>
    <row r="48" spans="1:14">
      <c r="A48" t="s">
        <v>33</v>
      </c>
      <c r="B48" t="s">
        <v>47</v>
      </c>
      <c r="C48" s="2">
        <v>0.12777777777777777</v>
      </c>
      <c r="D48" t="s">
        <v>63</v>
      </c>
      <c r="E48">
        <v>4922</v>
      </c>
      <c r="F48">
        <v>11</v>
      </c>
      <c r="G48">
        <v>7</v>
      </c>
      <c r="H48">
        <v>1</v>
      </c>
      <c r="I48">
        <v>3</v>
      </c>
      <c r="J48">
        <v>4</v>
      </c>
      <c r="K48">
        <v>1611.3954973793773</v>
      </c>
      <c r="L48">
        <v>1460.2160174238793</v>
      </c>
      <c r="M48">
        <v>151.17947995549798</v>
      </c>
      <c r="N48">
        <v>3</v>
      </c>
    </row>
    <row r="49" spans="1:14">
      <c r="A49" t="s">
        <v>42</v>
      </c>
      <c r="B49" t="s">
        <v>38</v>
      </c>
      <c r="C49" s="2">
        <v>0.1673611111111111</v>
      </c>
      <c r="D49" t="s">
        <v>21</v>
      </c>
      <c r="E49">
        <v>4086</v>
      </c>
      <c r="F49">
        <v>4</v>
      </c>
      <c r="G49">
        <v>3</v>
      </c>
      <c r="H49">
        <v>3</v>
      </c>
      <c r="I49">
        <v>4</v>
      </c>
      <c r="J49">
        <v>1</v>
      </c>
      <c r="K49">
        <v>1499.5786778914417</v>
      </c>
      <c r="L49">
        <v>1511.6775660289775</v>
      </c>
      <c r="M49">
        <v>-12.098888137535823</v>
      </c>
      <c r="N49">
        <v>1</v>
      </c>
    </row>
    <row r="50" spans="1:14">
      <c r="A50" t="s">
        <v>46</v>
      </c>
      <c r="B50" t="s">
        <v>39</v>
      </c>
      <c r="C50" s="2">
        <v>8.4027777777777785E-2</v>
      </c>
      <c r="D50" t="s">
        <v>21</v>
      </c>
      <c r="E50">
        <v>11263</v>
      </c>
      <c r="F50">
        <v>5</v>
      </c>
      <c r="G50">
        <v>8</v>
      </c>
      <c r="H50">
        <v>3</v>
      </c>
      <c r="I50">
        <v>2</v>
      </c>
      <c r="J50">
        <v>1</v>
      </c>
      <c r="K50">
        <v>1586.3678964293085</v>
      </c>
      <c r="L50">
        <v>1403.1286712599644</v>
      </c>
      <c r="M50">
        <v>183.23922516934408</v>
      </c>
      <c r="N50">
        <v>3</v>
      </c>
    </row>
    <row r="51" spans="1:14">
      <c r="A51" t="s">
        <v>51</v>
      </c>
      <c r="B51" t="s">
        <v>32</v>
      </c>
      <c r="C51" s="2">
        <v>4.3749999999999997E-2</v>
      </c>
      <c r="D51" t="s">
        <v>21</v>
      </c>
      <c r="E51">
        <v>7194</v>
      </c>
      <c r="F51">
        <v>6</v>
      </c>
      <c r="G51">
        <v>2</v>
      </c>
      <c r="H51">
        <v>0</v>
      </c>
      <c r="I51">
        <v>1</v>
      </c>
      <c r="J51">
        <v>3</v>
      </c>
      <c r="K51">
        <v>1520.2237435273764</v>
      </c>
      <c r="L51">
        <v>1498.780530204062</v>
      </c>
      <c r="M51">
        <v>21.443213323314467</v>
      </c>
      <c r="N51">
        <v>1</v>
      </c>
    </row>
    <row r="52" spans="1:14">
      <c r="A52" t="s">
        <v>39</v>
      </c>
      <c r="B52" t="s">
        <v>33</v>
      </c>
      <c r="C52" s="2">
        <v>6.9444444444444447E-4</v>
      </c>
      <c r="D52" t="s">
        <v>21</v>
      </c>
      <c r="E52">
        <v>4235</v>
      </c>
      <c r="F52">
        <v>8</v>
      </c>
      <c r="G52">
        <v>11</v>
      </c>
      <c r="H52">
        <v>0</v>
      </c>
      <c r="I52">
        <v>0</v>
      </c>
      <c r="J52">
        <v>1</v>
      </c>
      <c r="K52">
        <v>1427.2738811257566</v>
      </c>
      <c r="L52">
        <v>1578.0425430599414</v>
      </c>
      <c r="M52">
        <v>-150.76866193418482</v>
      </c>
      <c r="N52">
        <v>0</v>
      </c>
    </row>
    <row r="53" spans="1:14">
      <c r="A53" t="s">
        <v>18</v>
      </c>
      <c r="B53" t="s">
        <v>28</v>
      </c>
      <c r="C53" s="2">
        <v>8.6805555555555552E-2</v>
      </c>
      <c r="D53" t="s">
        <v>21</v>
      </c>
      <c r="E53">
        <v>6765</v>
      </c>
      <c r="F53">
        <v>0</v>
      </c>
      <c r="G53">
        <v>1</v>
      </c>
      <c r="H53">
        <v>0</v>
      </c>
      <c r="I53">
        <v>2</v>
      </c>
      <c r="J53">
        <v>5</v>
      </c>
      <c r="K53">
        <v>1477.2993220754056</v>
      </c>
      <c r="L53">
        <v>1633.5861012839839</v>
      </c>
      <c r="M53">
        <v>-156.28677920857831</v>
      </c>
      <c r="N53">
        <v>0</v>
      </c>
    </row>
    <row r="54" spans="1:14">
      <c r="A54" t="s">
        <v>47</v>
      </c>
      <c r="B54" t="s">
        <v>51</v>
      </c>
      <c r="C54" s="2">
        <v>8.5416666666666669E-2</v>
      </c>
      <c r="D54" t="s">
        <v>21</v>
      </c>
      <c r="E54">
        <v>6497</v>
      </c>
      <c r="F54">
        <v>7</v>
      </c>
      <c r="G54">
        <v>6</v>
      </c>
      <c r="H54">
        <v>0</v>
      </c>
      <c r="I54">
        <v>2</v>
      </c>
      <c r="J54">
        <v>3</v>
      </c>
      <c r="K54">
        <v>1493.5689717433152</v>
      </c>
      <c r="L54">
        <v>1480.4699778622703</v>
      </c>
      <c r="M54">
        <v>13.098993881044862</v>
      </c>
      <c r="N54">
        <v>1</v>
      </c>
    </row>
    <row r="55" spans="1:14">
      <c r="A55" t="s">
        <v>38</v>
      </c>
      <c r="B55" t="s">
        <v>52</v>
      </c>
      <c r="C55" s="2">
        <v>0.16875000000000001</v>
      </c>
      <c r="D55" t="s">
        <v>35</v>
      </c>
      <c r="E55">
        <v>7135</v>
      </c>
      <c r="F55">
        <v>3</v>
      </c>
      <c r="G55">
        <v>9</v>
      </c>
      <c r="H55">
        <v>2</v>
      </c>
      <c r="I55">
        <v>4</v>
      </c>
      <c r="J55">
        <v>3</v>
      </c>
      <c r="K55">
        <v>1530.4717581821517</v>
      </c>
      <c r="L55">
        <v>1491.3027109928398</v>
      </c>
      <c r="M55">
        <v>39.169047189311868</v>
      </c>
      <c r="N55">
        <v>3</v>
      </c>
    </row>
    <row r="56" spans="1:14">
      <c r="A56" t="s">
        <v>19</v>
      </c>
      <c r="B56" t="s">
        <v>43</v>
      </c>
      <c r="C56" s="2">
        <v>0.12569444444444444</v>
      </c>
      <c r="D56" t="s">
        <v>21</v>
      </c>
      <c r="E56">
        <v>5168</v>
      </c>
      <c r="F56">
        <v>10</v>
      </c>
      <c r="G56">
        <v>13</v>
      </c>
      <c r="H56">
        <v>3</v>
      </c>
      <c r="I56">
        <v>3</v>
      </c>
      <c r="J56">
        <v>1</v>
      </c>
      <c r="K56">
        <v>1490.5766648660397</v>
      </c>
      <c r="L56">
        <v>1510.9385786267771</v>
      </c>
      <c r="M56">
        <v>-20.36191376073748</v>
      </c>
      <c r="N56">
        <v>1</v>
      </c>
    </row>
    <row r="57" spans="1:14">
      <c r="A57" t="s">
        <v>29</v>
      </c>
      <c r="B57" t="s">
        <v>46</v>
      </c>
      <c r="C57" s="2">
        <v>0.12777777777777777</v>
      </c>
      <c r="D57" t="s">
        <v>63</v>
      </c>
      <c r="E57">
        <v>9600</v>
      </c>
      <c r="F57">
        <v>12</v>
      </c>
      <c r="G57">
        <v>5</v>
      </c>
      <c r="H57">
        <v>1</v>
      </c>
      <c r="I57">
        <v>3</v>
      </c>
      <c r="J57">
        <v>4</v>
      </c>
      <c r="K57">
        <v>1514.9280220105663</v>
      </c>
      <c r="L57">
        <v>1562.2226865635164</v>
      </c>
      <c r="M57">
        <v>-47.294664552950053</v>
      </c>
      <c r="N57">
        <v>0</v>
      </c>
    </row>
    <row r="58" spans="1:14">
      <c r="A58" t="s">
        <v>42</v>
      </c>
      <c r="B58" t="s">
        <v>32</v>
      </c>
      <c r="C58" s="2">
        <v>8.5416666666666669E-2</v>
      </c>
      <c r="D58" t="s">
        <v>21</v>
      </c>
      <c r="E58">
        <v>5515</v>
      </c>
      <c r="F58">
        <v>4</v>
      </c>
      <c r="G58">
        <v>2</v>
      </c>
      <c r="H58">
        <v>0</v>
      </c>
      <c r="I58">
        <v>2</v>
      </c>
      <c r="J58">
        <v>3</v>
      </c>
      <c r="K58">
        <v>1510.7844857382674</v>
      </c>
      <c r="L58">
        <v>1508.5342958691681</v>
      </c>
      <c r="M58">
        <v>2.2501898690993585</v>
      </c>
      <c r="N58">
        <v>1</v>
      </c>
    </row>
    <row r="59" spans="1:14">
      <c r="A59" t="s">
        <v>52</v>
      </c>
      <c r="B59" t="s">
        <v>47</v>
      </c>
      <c r="C59" s="2">
        <v>8.5416666666666669E-2</v>
      </c>
      <c r="D59" t="s">
        <v>21</v>
      </c>
      <c r="E59">
        <v>16806</v>
      </c>
      <c r="F59">
        <v>9</v>
      </c>
      <c r="G59">
        <v>7</v>
      </c>
      <c r="H59">
        <v>0</v>
      </c>
      <c r="I59">
        <v>2</v>
      </c>
      <c r="J59">
        <v>3</v>
      </c>
      <c r="K59">
        <v>1531.5665561348294</v>
      </c>
      <c r="L59">
        <v>1454.0550384639539</v>
      </c>
      <c r="M59">
        <v>77.511517670875492</v>
      </c>
      <c r="N59">
        <v>3</v>
      </c>
    </row>
    <row r="60" spans="1:14">
      <c r="A60" t="s">
        <v>28</v>
      </c>
      <c r="B60" t="s">
        <v>19</v>
      </c>
      <c r="C60" s="2">
        <v>1.3888888888888889E-3</v>
      </c>
      <c r="D60" t="s">
        <v>21</v>
      </c>
      <c r="E60">
        <v>6547</v>
      </c>
      <c r="F60">
        <v>1</v>
      </c>
      <c r="G60">
        <v>10</v>
      </c>
      <c r="H60">
        <v>0</v>
      </c>
      <c r="I60">
        <v>0</v>
      </c>
      <c r="J60">
        <v>2</v>
      </c>
      <c r="K60">
        <v>1668.6852189806805</v>
      </c>
      <c r="L60">
        <v>1472.0161296152319</v>
      </c>
      <c r="M60">
        <v>196.6690893654486</v>
      </c>
      <c r="N60">
        <v>3</v>
      </c>
    </row>
    <row r="61" spans="1:14">
      <c r="A61" t="s">
        <v>33</v>
      </c>
      <c r="B61" t="s">
        <v>29</v>
      </c>
      <c r="C61" s="2">
        <v>4.4444444444444446E-2</v>
      </c>
      <c r="D61" t="s">
        <v>21</v>
      </c>
      <c r="E61">
        <v>5725</v>
      </c>
      <c r="F61">
        <v>11</v>
      </c>
      <c r="G61">
        <v>12</v>
      </c>
      <c r="H61">
        <v>0</v>
      </c>
      <c r="I61">
        <v>1</v>
      </c>
      <c r="J61">
        <v>4</v>
      </c>
      <c r="K61">
        <v>1613.263273903847</v>
      </c>
      <c r="L61">
        <v>1487.1167504123709</v>
      </c>
      <c r="M61">
        <v>126.14652349147605</v>
      </c>
      <c r="N61">
        <v>3</v>
      </c>
    </row>
    <row r="62" spans="1:14">
      <c r="A62" t="s">
        <v>43</v>
      </c>
      <c r="B62" t="s">
        <v>42</v>
      </c>
      <c r="C62" s="2">
        <v>0.12777777777777777</v>
      </c>
      <c r="D62" t="s">
        <v>21</v>
      </c>
      <c r="E62">
        <v>6000</v>
      </c>
      <c r="F62">
        <v>13</v>
      </c>
      <c r="G62">
        <v>4</v>
      </c>
      <c r="H62">
        <v>0</v>
      </c>
      <c r="I62">
        <v>3</v>
      </c>
      <c r="J62">
        <v>4</v>
      </c>
      <c r="K62">
        <v>1529.4991138775849</v>
      </c>
      <c r="L62">
        <v>1471.5814954161181</v>
      </c>
      <c r="M62">
        <v>57.917618461466873</v>
      </c>
      <c r="N62">
        <v>3</v>
      </c>
    </row>
    <row r="63" spans="1:14">
      <c r="A63" t="s">
        <v>46</v>
      </c>
      <c r="B63" t="s">
        <v>38</v>
      </c>
      <c r="C63" s="2">
        <v>8.5416666666666669E-2</v>
      </c>
      <c r="D63" t="s">
        <v>21</v>
      </c>
      <c r="E63">
        <v>12000</v>
      </c>
      <c r="F63">
        <v>5</v>
      </c>
      <c r="G63">
        <v>3</v>
      </c>
      <c r="H63">
        <v>0</v>
      </c>
      <c r="I63">
        <v>2</v>
      </c>
      <c r="J63">
        <v>3</v>
      </c>
      <c r="K63">
        <v>1590.0339581617118</v>
      </c>
      <c r="L63">
        <v>1490.2079130401621</v>
      </c>
      <c r="M63">
        <v>99.826045121549669</v>
      </c>
      <c r="N63">
        <v>3</v>
      </c>
    </row>
    <row r="64" spans="1:14">
      <c r="A64" t="s">
        <v>51</v>
      </c>
      <c r="B64" t="s">
        <v>18</v>
      </c>
      <c r="C64" s="2">
        <v>0.1673611111111111</v>
      </c>
      <c r="D64" t="s">
        <v>21</v>
      </c>
      <c r="E64">
        <v>7450</v>
      </c>
      <c r="F64">
        <v>6</v>
      </c>
      <c r="G64">
        <v>0</v>
      </c>
      <c r="H64">
        <v>3</v>
      </c>
      <c r="I64">
        <v>4</v>
      </c>
      <c r="J64">
        <v>1</v>
      </c>
      <c r="K64">
        <v>1519.9839111416316</v>
      </c>
      <c r="L64">
        <v>1442.200204378709</v>
      </c>
      <c r="M64">
        <v>77.78370676292252</v>
      </c>
      <c r="N64">
        <v>3</v>
      </c>
    </row>
    <row r="65" spans="1:14">
      <c r="A65" t="s">
        <v>39</v>
      </c>
      <c r="B65" t="s">
        <v>18</v>
      </c>
      <c r="C65" s="2">
        <v>8.5416666666666669E-2</v>
      </c>
      <c r="D65" t="s">
        <v>63</v>
      </c>
      <c r="E65">
        <v>3913</v>
      </c>
      <c r="F65">
        <v>8</v>
      </c>
      <c r="G65">
        <v>0</v>
      </c>
      <c r="H65">
        <v>1</v>
      </c>
      <c r="I65">
        <v>2</v>
      </c>
      <c r="J65">
        <v>3</v>
      </c>
      <c r="K65">
        <v>1422.053150281851</v>
      </c>
      <c r="L65">
        <v>1433.5669236030751</v>
      </c>
      <c r="M65">
        <v>-11.513773321224107</v>
      </c>
      <c r="N65">
        <v>1</v>
      </c>
    </row>
    <row r="66" spans="1:14">
      <c r="A66" t="s">
        <v>52</v>
      </c>
      <c r="B66" t="s">
        <v>51</v>
      </c>
      <c r="C66" s="2">
        <v>8.4027777777777785E-2</v>
      </c>
      <c r="D66" t="s">
        <v>63</v>
      </c>
      <c r="E66">
        <v>15553</v>
      </c>
      <c r="F66">
        <v>9</v>
      </c>
      <c r="G66">
        <v>6</v>
      </c>
      <c r="H66">
        <v>2</v>
      </c>
      <c r="I66">
        <v>2</v>
      </c>
      <c r="J66">
        <v>1</v>
      </c>
      <c r="K66">
        <v>1520.2075256266633</v>
      </c>
      <c r="L66">
        <v>1498.6171919172655</v>
      </c>
      <c r="M66">
        <v>21.590333709397783</v>
      </c>
      <c r="N66">
        <v>1</v>
      </c>
    </row>
    <row r="67" spans="1:14">
      <c r="A67" t="s">
        <v>38</v>
      </c>
      <c r="B67" t="s">
        <v>47</v>
      </c>
      <c r="C67" s="2">
        <v>0.21041666666666667</v>
      </c>
      <c r="D67" t="s">
        <v>21</v>
      </c>
      <c r="E67">
        <v>7135</v>
      </c>
      <c r="F67">
        <v>3</v>
      </c>
      <c r="G67">
        <v>7</v>
      </c>
      <c r="H67">
        <v>3</v>
      </c>
      <c r="I67">
        <v>5</v>
      </c>
      <c r="J67">
        <v>3</v>
      </c>
      <c r="K67">
        <v>1532.1910395363152</v>
      </c>
      <c r="L67">
        <v>1465.41406897212</v>
      </c>
      <c r="M67">
        <v>66.776970564195153</v>
      </c>
      <c r="N67">
        <v>3</v>
      </c>
    </row>
    <row r="68" spans="1:14">
      <c r="A68" t="s">
        <v>33</v>
      </c>
      <c r="B68" t="s">
        <v>46</v>
      </c>
      <c r="C68" s="2">
        <v>4.4444444444444446E-2</v>
      </c>
      <c r="D68" t="s">
        <v>21</v>
      </c>
      <c r="E68">
        <v>5640</v>
      </c>
      <c r="F68">
        <v>11</v>
      </c>
      <c r="G68">
        <v>5</v>
      </c>
      <c r="H68">
        <v>0</v>
      </c>
      <c r="I68">
        <v>1</v>
      </c>
      <c r="J68">
        <v>4</v>
      </c>
      <c r="K68">
        <v>1600.5644966345496</v>
      </c>
      <c r="L68">
        <v>1548.0508316655587</v>
      </c>
      <c r="M68">
        <v>52.513664968990952</v>
      </c>
      <c r="N68">
        <v>3</v>
      </c>
    </row>
    <row r="69" spans="1:14">
      <c r="A69" t="s">
        <v>29</v>
      </c>
      <c r="B69" t="s">
        <v>28</v>
      </c>
      <c r="C69" s="2">
        <v>8.7499999999999994E-2</v>
      </c>
      <c r="D69" t="s">
        <v>21</v>
      </c>
      <c r="E69">
        <v>9600</v>
      </c>
      <c r="F69">
        <v>12</v>
      </c>
      <c r="G69">
        <v>1</v>
      </c>
      <c r="H69">
        <v>0</v>
      </c>
      <c r="I69">
        <v>2</v>
      </c>
      <c r="J69">
        <v>6</v>
      </c>
      <c r="K69">
        <v>1529.8155276816683</v>
      </c>
      <c r="L69">
        <v>1624.2250880620068</v>
      </c>
      <c r="M69">
        <v>-94.409560380338462</v>
      </c>
      <c r="N69">
        <v>0</v>
      </c>
    </row>
    <row r="70" spans="1:14">
      <c r="A70" t="s">
        <v>42</v>
      </c>
      <c r="B70" t="s">
        <v>19</v>
      </c>
      <c r="C70" s="2">
        <v>0.25277777777777777</v>
      </c>
      <c r="D70" t="s">
        <v>21</v>
      </c>
      <c r="E70">
        <v>4995</v>
      </c>
      <c r="F70">
        <v>4</v>
      </c>
      <c r="G70">
        <v>10</v>
      </c>
      <c r="H70">
        <v>3</v>
      </c>
      <c r="I70">
        <v>6</v>
      </c>
      <c r="J70">
        <v>4</v>
      </c>
      <c r="K70">
        <v>1512.3833041400815</v>
      </c>
      <c r="L70">
        <v>1486.4762605339056</v>
      </c>
      <c r="M70">
        <v>25.907043606175876</v>
      </c>
      <c r="N70">
        <v>3</v>
      </c>
    </row>
    <row r="71" spans="1:14">
      <c r="A71" t="s">
        <v>43</v>
      </c>
      <c r="B71" t="s">
        <v>32</v>
      </c>
      <c r="C71" s="2">
        <v>0.12777777777777777</v>
      </c>
      <c r="D71" t="s">
        <v>21</v>
      </c>
      <c r="E71">
        <v>6000</v>
      </c>
      <c r="F71">
        <v>13</v>
      </c>
      <c r="G71">
        <v>2</v>
      </c>
      <c r="H71">
        <v>0</v>
      </c>
      <c r="I71">
        <v>3</v>
      </c>
      <c r="J71">
        <v>4</v>
      </c>
      <c r="K71">
        <v>1518.6973051536215</v>
      </c>
      <c r="L71">
        <v>1517.7372861913175</v>
      </c>
      <c r="M71">
        <v>0.96001896230404782</v>
      </c>
      <c r="N71">
        <v>1</v>
      </c>
    </row>
    <row r="72" spans="1:14">
      <c r="A72" t="s">
        <v>39</v>
      </c>
      <c r="B72" t="s">
        <v>38</v>
      </c>
      <c r="C72" s="2">
        <v>8.7499999999999994E-2</v>
      </c>
      <c r="D72" t="s">
        <v>21</v>
      </c>
      <c r="E72">
        <v>4275</v>
      </c>
      <c r="F72">
        <v>8</v>
      </c>
      <c r="G72">
        <v>3</v>
      </c>
      <c r="H72">
        <v>0</v>
      </c>
      <c r="I72">
        <v>2</v>
      </c>
      <c r="J72">
        <v>6</v>
      </c>
      <c r="K72">
        <v>1423.2423586782656</v>
      </c>
      <c r="L72">
        <v>1511.1364491125398</v>
      </c>
      <c r="M72">
        <v>-87.894090434274176</v>
      </c>
      <c r="N72">
        <v>0</v>
      </c>
    </row>
    <row r="73" spans="1:14">
      <c r="A73" t="s">
        <v>18</v>
      </c>
      <c r="B73" t="s">
        <v>52</v>
      </c>
      <c r="C73" s="2">
        <v>0.1673611111111111</v>
      </c>
      <c r="D73" t="s">
        <v>21</v>
      </c>
      <c r="E73">
        <v>6775</v>
      </c>
      <c r="F73">
        <v>0</v>
      </c>
      <c r="G73">
        <v>9</v>
      </c>
      <c r="H73">
        <v>3</v>
      </c>
      <c r="I73">
        <v>4</v>
      </c>
      <c r="J73">
        <v>1</v>
      </c>
      <c r="K73">
        <v>1462.3777152066605</v>
      </c>
      <c r="L73">
        <v>1480.4495280199997</v>
      </c>
      <c r="M73">
        <v>-18.071812813339193</v>
      </c>
      <c r="N73">
        <v>1</v>
      </c>
    </row>
    <row r="74" spans="1:14">
      <c r="A74" t="s">
        <v>47</v>
      </c>
      <c r="B74" t="s">
        <v>43</v>
      </c>
      <c r="C74" s="2">
        <v>0.20902777777777778</v>
      </c>
      <c r="D74" t="s">
        <v>21</v>
      </c>
      <c r="E74">
        <v>6556</v>
      </c>
      <c r="F74">
        <v>7</v>
      </c>
      <c r="G74">
        <v>13</v>
      </c>
      <c r="H74">
        <v>3</v>
      </c>
      <c r="I74">
        <v>5</v>
      </c>
      <c r="J74">
        <v>1</v>
      </c>
      <c r="K74">
        <v>1486.4686593958954</v>
      </c>
      <c r="L74">
        <v>1479.5312019635376</v>
      </c>
      <c r="M74">
        <v>6.9374574323578599</v>
      </c>
      <c r="N74">
        <v>1</v>
      </c>
    </row>
    <row r="75" spans="1:14">
      <c r="A75" t="s">
        <v>32</v>
      </c>
      <c r="B75" t="s">
        <v>29</v>
      </c>
      <c r="C75" s="2">
        <v>0.12777777777777777</v>
      </c>
      <c r="D75" t="s">
        <v>21</v>
      </c>
      <c r="E75">
        <v>9372</v>
      </c>
      <c r="F75">
        <v>2</v>
      </c>
      <c r="G75">
        <v>12</v>
      </c>
      <c r="H75">
        <v>0</v>
      </c>
      <c r="I75">
        <v>3</v>
      </c>
      <c r="J75">
        <v>4</v>
      </c>
      <c r="K75">
        <v>1556.9033893814014</v>
      </c>
      <c r="L75">
        <v>1493.250740524169</v>
      </c>
      <c r="M75">
        <v>63.652648857232407</v>
      </c>
      <c r="N75">
        <v>3</v>
      </c>
    </row>
    <row r="76" spans="1:14">
      <c r="A76" t="s">
        <v>19</v>
      </c>
      <c r="B76" t="s">
        <v>33</v>
      </c>
      <c r="C76" s="2">
        <v>8.4027777777777785E-2</v>
      </c>
      <c r="D76" t="s">
        <v>35</v>
      </c>
      <c r="E76">
        <v>6404</v>
      </c>
      <c r="F76">
        <v>10</v>
      </c>
      <c r="G76">
        <v>11</v>
      </c>
      <c r="H76">
        <v>2</v>
      </c>
      <c r="I76">
        <v>2</v>
      </c>
      <c r="J76">
        <v>1</v>
      </c>
      <c r="K76">
        <v>1506.3584612285017</v>
      </c>
      <c r="L76">
        <v>1559.9174067201463</v>
      </c>
      <c r="M76">
        <v>-53.558945491644636</v>
      </c>
      <c r="N76">
        <v>0</v>
      </c>
    </row>
    <row r="77" spans="1:14">
      <c r="A77" t="s">
        <v>46</v>
      </c>
      <c r="B77" t="s">
        <v>28</v>
      </c>
      <c r="C77" s="2">
        <v>4.3055555555555555E-2</v>
      </c>
      <c r="D77" t="s">
        <v>21</v>
      </c>
      <c r="E77">
        <v>12000</v>
      </c>
      <c r="F77">
        <v>5</v>
      </c>
      <c r="G77">
        <v>1</v>
      </c>
      <c r="H77">
        <v>0</v>
      </c>
      <c r="I77">
        <v>1</v>
      </c>
      <c r="J77">
        <v>2</v>
      </c>
      <c r="K77">
        <v>1588.697921579962</v>
      </c>
      <c r="L77">
        <v>1630.789875219506</v>
      </c>
      <c r="M77">
        <v>-42.091953639544045</v>
      </c>
      <c r="N77">
        <v>0</v>
      </c>
    </row>
    <row r="78" spans="1:14">
      <c r="A78" t="s">
        <v>51</v>
      </c>
      <c r="B78" t="s">
        <v>42</v>
      </c>
      <c r="C78" s="2">
        <v>8.5416666666666669E-2</v>
      </c>
      <c r="D78" t="s">
        <v>35</v>
      </c>
      <c r="E78">
        <v>7450</v>
      </c>
      <c r="F78">
        <v>6</v>
      </c>
      <c r="G78">
        <v>4</v>
      </c>
      <c r="H78">
        <v>1</v>
      </c>
      <c r="I78">
        <v>2</v>
      </c>
      <c r="J78">
        <v>3</v>
      </c>
      <c r="K78">
        <v>1538.3751895239291</v>
      </c>
      <c r="L78">
        <v>1492.5011034454853</v>
      </c>
      <c r="M78">
        <v>45.874086078443725</v>
      </c>
      <c r="N78">
        <v>3</v>
      </c>
    </row>
    <row r="79" spans="1:14">
      <c r="A79" t="s">
        <v>52</v>
      </c>
      <c r="B79" t="s">
        <v>32</v>
      </c>
      <c r="C79" s="2">
        <v>0.12777777777777777</v>
      </c>
      <c r="D79" t="s">
        <v>21</v>
      </c>
      <c r="E79">
        <v>16471</v>
      </c>
      <c r="F79">
        <v>9</v>
      </c>
      <c r="G79">
        <v>2</v>
      </c>
      <c r="H79">
        <v>0</v>
      </c>
      <c r="I79">
        <v>3</v>
      </c>
      <c r="J79">
        <v>4</v>
      </c>
      <c r="K79">
        <v>1499.0746722556742</v>
      </c>
      <c r="L79">
        <v>1515.9378060619717</v>
      </c>
      <c r="M79">
        <v>-16.863133806297583</v>
      </c>
      <c r="N79">
        <v>1</v>
      </c>
    </row>
    <row r="80" spans="1:14">
      <c r="A80" t="s">
        <v>28</v>
      </c>
      <c r="B80" t="s">
        <v>47</v>
      </c>
      <c r="C80" s="2">
        <v>0.20972222222222223</v>
      </c>
      <c r="D80" t="s">
        <v>21</v>
      </c>
      <c r="E80">
        <v>4656</v>
      </c>
      <c r="F80">
        <v>1</v>
      </c>
      <c r="G80">
        <v>7</v>
      </c>
      <c r="H80">
        <v>3</v>
      </c>
      <c r="I80">
        <v>5</v>
      </c>
      <c r="J80">
        <v>2</v>
      </c>
      <c r="K80">
        <v>1668.7441773389098</v>
      </c>
      <c r="L80">
        <v>1467.1314795062729</v>
      </c>
      <c r="M80">
        <v>201.61269783263697</v>
      </c>
      <c r="N80">
        <v>3</v>
      </c>
    </row>
    <row r="81" spans="1:14">
      <c r="A81" t="s">
        <v>38</v>
      </c>
      <c r="B81" t="s">
        <v>19</v>
      </c>
      <c r="C81" s="2">
        <v>0.29166666666666669</v>
      </c>
      <c r="D81" t="s">
        <v>21</v>
      </c>
      <c r="E81">
        <v>6342</v>
      </c>
      <c r="F81">
        <v>3</v>
      </c>
      <c r="G81">
        <v>10</v>
      </c>
      <c r="H81">
        <v>3</v>
      </c>
      <c r="I81">
        <v>7</v>
      </c>
      <c r="J81">
        <v>0</v>
      </c>
      <c r="K81">
        <v>1547.8676894958862</v>
      </c>
      <c r="L81">
        <v>1468.7181595533818</v>
      </c>
      <c r="M81">
        <v>79.149529942504387</v>
      </c>
      <c r="N81">
        <v>3</v>
      </c>
    </row>
    <row r="82" spans="1:14">
      <c r="A82" t="s">
        <v>33</v>
      </c>
      <c r="B82" t="s">
        <v>51</v>
      </c>
      <c r="C82" s="2">
        <v>0.1673611111111111</v>
      </c>
      <c r="D82" t="s">
        <v>21</v>
      </c>
      <c r="E82">
        <v>5941</v>
      </c>
      <c r="F82">
        <v>11</v>
      </c>
      <c r="G82">
        <v>6</v>
      </c>
      <c r="H82">
        <v>3</v>
      </c>
      <c r="I82">
        <v>4</v>
      </c>
      <c r="J82">
        <v>1</v>
      </c>
      <c r="K82">
        <v>1597.5577083952662</v>
      </c>
      <c r="L82">
        <v>1507.9186142571416</v>
      </c>
      <c r="M82">
        <v>89.639094138124619</v>
      </c>
      <c r="N82">
        <v>3</v>
      </c>
    </row>
    <row r="83" spans="1:14">
      <c r="A83" t="s">
        <v>29</v>
      </c>
      <c r="B83" t="s">
        <v>39</v>
      </c>
      <c r="C83" s="2">
        <v>8.5416666666666669E-2</v>
      </c>
      <c r="D83" t="s">
        <v>63</v>
      </c>
      <c r="E83">
        <v>9600</v>
      </c>
      <c r="F83">
        <v>12</v>
      </c>
      <c r="G83">
        <v>8</v>
      </c>
      <c r="H83">
        <v>1</v>
      </c>
      <c r="I83">
        <v>2</v>
      </c>
      <c r="J83">
        <v>3</v>
      </c>
      <c r="K83">
        <v>1534.2163238435987</v>
      </c>
      <c r="L83">
        <v>1386.5111182949192</v>
      </c>
      <c r="M83">
        <v>147.70520554867949</v>
      </c>
      <c r="N83">
        <v>3</v>
      </c>
    </row>
    <row r="84" spans="1:14">
      <c r="A84" t="s">
        <v>42</v>
      </c>
      <c r="B84" t="s">
        <v>18</v>
      </c>
      <c r="C84" s="2">
        <v>0.25138888888888888</v>
      </c>
      <c r="D84" t="s">
        <v>21</v>
      </c>
      <c r="E84">
        <v>4562</v>
      </c>
      <c r="F84">
        <v>4</v>
      </c>
      <c r="G84">
        <v>0</v>
      </c>
      <c r="H84">
        <v>3</v>
      </c>
      <c r="I84">
        <v>6</v>
      </c>
      <c r="J84">
        <v>2</v>
      </c>
      <c r="K84">
        <v>1522.9576787122728</v>
      </c>
      <c r="L84">
        <v>1443.752570970986</v>
      </c>
      <c r="M84">
        <v>79.205107741286838</v>
      </c>
      <c r="N84">
        <v>3</v>
      </c>
    </row>
    <row r="85" spans="1:14">
      <c r="A85" t="s">
        <v>43</v>
      </c>
      <c r="B85" t="s">
        <v>46</v>
      </c>
      <c r="C85" s="2">
        <v>1.3888888888888889E-3</v>
      </c>
      <c r="D85" t="s">
        <v>21</v>
      </c>
      <c r="E85">
        <v>5416</v>
      </c>
      <c r="F85">
        <v>13</v>
      </c>
      <c r="G85">
        <v>5</v>
      </c>
      <c r="H85">
        <v>0</v>
      </c>
      <c r="I85">
        <v>0</v>
      </c>
      <c r="J85">
        <v>2</v>
      </c>
      <c r="K85">
        <v>1498.8683818531601</v>
      </c>
      <c r="L85">
        <v>1550.7436194605582</v>
      </c>
      <c r="M85">
        <v>-51.875237607398049</v>
      </c>
      <c r="N8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7429-E5B9-4484-8B79-C05A7B3B49AE}">
  <dimension ref="A1:M365"/>
  <sheetViews>
    <sheetView workbookViewId="0"/>
  </sheetViews>
  <sheetFormatPr defaultRowHeight="15"/>
  <cols>
    <col min="1" max="2" width="24.85546875" bestFit="1" customWidth="1"/>
    <col min="3" max="3" width="10.85546875" bestFit="1" customWidth="1"/>
    <col min="4" max="4" width="9" bestFit="1" customWidth="1"/>
    <col min="5" max="5" width="7" bestFit="1" customWidth="1"/>
    <col min="6" max="6" width="11.28515625" bestFit="1" customWidth="1"/>
    <col min="7" max="7" width="10.42578125" bestFit="1" customWidth="1"/>
    <col min="8" max="8" width="9" bestFit="1" customWidth="1"/>
    <col min="9" max="9" width="14.7109375" bestFit="1" customWidth="1"/>
    <col min="10" max="10" width="13.85546875" bestFit="1" customWidth="1"/>
    <col min="11" max="11" width="12.42578125" bestFit="1" customWidth="1"/>
    <col min="12" max="12" width="12" bestFit="1" customWidth="1"/>
    <col min="13" max="13" width="12.7109375" bestFit="1" customWidth="1"/>
  </cols>
  <sheetData>
    <row r="1" spans="1:13">
      <c r="A1" t="s">
        <v>3</v>
      </c>
      <c r="B1" t="s">
        <v>4</v>
      </c>
      <c r="C1" t="s">
        <v>5</v>
      </c>
      <c r="D1" t="s">
        <v>7</v>
      </c>
      <c r="E1" t="s">
        <v>11</v>
      </c>
      <c r="F1" t="s">
        <v>367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</row>
    <row r="2" spans="1:13">
      <c r="A2" t="s">
        <v>18</v>
      </c>
      <c r="B2" t="s">
        <v>19</v>
      </c>
      <c r="C2" s="2">
        <v>8.4027777777777785E-2</v>
      </c>
      <c r="D2" t="s">
        <v>21</v>
      </c>
      <c r="E2">
        <v>6149</v>
      </c>
      <c r="F2">
        <v>0</v>
      </c>
      <c r="G2">
        <v>10</v>
      </c>
      <c r="H2">
        <v>3</v>
      </c>
      <c r="I2">
        <v>2</v>
      </c>
      <c r="J2">
        <v>1</v>
      </c>
      <c r="K2">
        <v>1530</v>
      </c>
      <c r="L2">
        <v>1500</v>
      </c>
      <c r="M2">
        <v>30</v>
      </c>
    </row>
    <row r="3" spans="1:13">
      <c r="A3" t="s">
        <v>28</v>
      </c>
      <c r="B3" t="s">
        <v>29</v>
      </c>
      <c r="C3" s="2">
        <v>0.1673611111111111</v>
      </c>
      <c r="D3" t="s">
        <v>21</v>
      </c>
      <c r="E3">
        <v>3696</v>
      </c>
      <c r="F3">
        <v>1</v>
      </c>
      <c r="G3">
        <v>12</v>
      </c>
      <c r="H3">
        <v>3</v>
      </c>
      <c r="I3">
        <v>4</v>
      </c>
      <c r="J3">
        <v>1</v>
      </c>
      <c r="K3">
        <v>1530</v>
      </c>
      <c r="L3">
        <v>1500</v>
      </c>
      <c r="M3">
        <v>30</v>
      </c>
    </row>
    <row r="4" spans="1:13">
      <c r="A4" t="s">
        <v>32</v>
      </c>
      <c r="B4" t="s">
        <v>33</v>
      </c>
      <c r="C4" s="2">
        <v>0.12638888888888888</v>
      </c>
      <c r="D4" t="s">
        <v>35</v>
      </c>
      <c r="E4">
        <v>9280</v>
      </c>
      <c r="F4">
        <v>2</v>
      </c>
      <c r="G4">
        <v>11</v>
      </c>
      <c r="H4">
        <v>2</v>
      </c>
      <c r="I4">
        <v>3</v>
      </c>
      <c r="J4">
        <v>2</v>
      </c>
      <c r="K4">
        <v>1530</v>
      </c>
      <c r="L4">
        <v>1500</v>
      </c>
      <c r="M4">
        <v>30</v>
      </c>
    </row>
    <row r="5" spans="1:13">
      <c r="A5" t="s">
        <v>38</v>
      </c>
      <c r="B5" t="s">
        <v>39</v>
      </c>
      <c r="C5" s="2">
        <v>0.21041666666666667</v>
      </c>
      <c r="D5" t="s">
        <v>21</v>
      </c>
      <c r="E5">
        <v>6003</v>
      </c>
      <c r="F5">
        <v>3</v>
      </c>
      <c r="G5">
        <v>8</v>
      </c>
      <c r="H5">
        <v>3</v>
      </c>
      <c r="I5">
        <v>5</v>
      </c>
      <c r="J5">
        <v>3</v>
      </c>
      <c r="K5">
        <v>1530</v>
      </c>
      <c r="L5">
        <v>1500</v>
      </c>
      <c r="M5">
        <v>30</v>
      </c>
    </row>
    <row r="6" spans="1:13">
      <c r="A6" t="s">
        <v>42</v>
      </c>
      <c r="B6" t="s">
        <v>43</v>
      </c>
      <c r="C6" s="2">
        <v>0.20902777777777778</v>
      </c>
      <c r="D6" t="s">
        <v>21</v>
      </c>
      <c r="E6">
        <v>4293</v>
      </c>
      <c r="F6">
        <v>4</v>
      </c>
      <c r="G6">
        <v>13</v>
      </c>
      <c r="H6">
        <v>3</v>
      </c>
      <c r="I6">
        <v>5</v>
      </c>
      <c r="J6">
        <v>1</v>
      </c>
      <c r="K6">
        <v>1530</v>
      </c>
      <c r="L6">
        <v>1500</v>
      </c>
      <c r="M6">
        <v>30</v>
      </c>
    </row>
    <row r="7" spans="1:13">
      <c r="A7" t="s">
        <v>46</v>
      </c>
      <c r="B7" t="s">
        <v>47</v>
      </c>
      <c r="C7" s="2">
        <v>0.16875000000000001</v>
      </c>
      <c r="D7" t="s">
        <v>21</v>
      </c>
      <c r="E7">
        <v>10152</v>
      </c>
      <c r="F7">
        <v>5</v>
      </c>
      <c r="G7">
        <v>7</v>
      </c>
      <c r="H7">
        <v>3</v>
      </c>
      <c r="I7">
        <v>4</v>
      </c>
      <c r="J7">
        <v>3</v>
      </c>
      <c r="K7">
        <v>1530</v>
      </c>
      <c r="L7">
        <v>1500</v>
      </c>
      <c r="M7">
        <v>30</v>
      </c>
    </row>
    <row r="8" spans="1:13">
      <c r="A8" t="s">
        <v>51</v>
      </c>
      <c r="B8" t="s">
        <v>52</v>
      </c>
      <c r="C8" s="2">
        <v>0.125</v>
      </c>
      <c r="D8" t="s">
        <v>21</v>
      </c>
      <c r="E8">
        <v>7073</v>
      </c>
      <c r="F8">
        <v>6</v>
      </c>
      <c r="G8">
        <v>9</v>
      </c>
      <c r="H8">
        <v>3</v>
      </c>
      <c r="I8">
        <v>3</v>
      </c>
      <c r="J8">
        <v>0</v>
      </c>
      <c r="K8">
        <v>1530</v>
      </c>
      <c r="L8">
        <v>1500</v>
      </c>
      <c r="M8">
        <v>30</v>
      </c>
    </row>
    <row r="9" spans="1:13">
      <c r="A9" t="s">
        <v>47</v>
      </c>
      <c r="B9" t="s">
        <v>28</v>
      </c>
      <c r="C9" s="2">
        <v>4.4444444444444446E-2</v>
      </c>
      <c r="D9" t="s">
        <v>21</v>
      </c>
      <c r="E9">
        <v>5705</v>
      </c>
      <c r="F9">
        <v>7</v>
      </c>
      <c r="G9">
        <v>1</v>
      </c>
      <c r="H9">
        <v>0</v>
      </c>
      <c r="I9">
        <v>1</v>
      </c>
      <c r="J9">
        <v>4</v>
      </c>
      <c r="K9">
        <v>1520</v>
      </c>
      <c r="L9">
        <v>1510</v>
      </c>
      <c r="M9">
        <v>10</v>
      </c>
    </row>
    <row r="10" spans="1:13">
      <c r="A10" t="s">
        <v>39</v>
      </c>
      <c r="B10" t="s">
        <v>46</v>
      </c>
      <c r="C10" s="2">
        <v>2.7777777777777779E-3</v>
      </c>
      <c r="D10" t="s">
        <v>21</v>
      </c>
      <c r="E10">
        <v>3963</v>
      </c>
      <c r="F10">
        <v>8</v>
      </c>
      <c r="G10">
        <v>5</v>
      </c>
      <c r="H10">
        <v>0</v>
      </c>
      <c r="I10">
        <v>0</v>
      </c>
      <c r="J10">
        <v>4</v>
      </c>
      <c r="K10">
        <v>1520</v>
      </c>
      <c r="L10">
        <v>1510</v>
      </c>
      <c r="M10">
        <v>10</v>
      </c>
    </row>
    <row r="11" spans="1:13">
      <c r="A11" t="s">
        <v>52</v>
      </c>
      <c r="B11" t="s">
        <v>38</v>
      </c>
      <c r="C11" s="2">
        <v>8.4027777777777785E-2</v>
      </c>
      <c r="D11" t="s">
        <v>63</v>
      </c>
      <c r="E11">
        <v>14523</v>
      </c>
      <c r="F11">
        <v>9</v>
      </c>
      <c r="G11">
        <v>3</v>
      </c>
      <c r="H11">
        <v>2</v>
      </c>
      <c r="I11">
        <v>2</v>
      </c>
      <c r="J11">
        <v>1</v>
      </c>
      <c r="K11">
        <v>1520</v>
      </c>
      <c r="L11">
        <v>1510</v>
      </c>
      <c r="M11">
        <v>10</v>
      </c>
    </row>
    <row r="12" spans="1:13">
      <c r="A12" t="s">
        <v>19</v>
      </c>
      <c r="B12" t="s">
        <v>42</v>
      </c>
      <c r="C12" s="2">
        <v>0.21041666666666667</v>
      </c>
      <c r="D12" t="s">
        <v>21</v>
      </c>
      <c r="E12">
        <v>5090</v>
      </c>
      <c r="F12">
        <v>10</v>
      </c>
      <c r="G12">
        <v>4</v>
      </c>
      <c r="H12">
        <v>3</v>
      </c>
      <c r="I12">
        <v>5</v>
      </c>
      <c r="J12">
        <v>3</v>
      </c>
      <c r="K12">
        <v>1520</v>
      </c>
      <c r="L12">
        <v>1510</v>
      </c>
      <c r="M12">
        <v>10</v>
      </c>
    </row>
    <row r="13" spans="1:13">
      <c r="A13" t="s">
        <v>33</v>
      </c>
      <c r="B13" t="s">
        <v>51</v>
      </c>
      <c r="C13" s="2">
        <v>4.3055555555555555E-2</v>
      </c>
      <c r="D13" t="s">
        <v>21</v>
      </c>
      <c r="E13">
        <v>5160</v>
      </c>
      <c r="F13">
        <v>11</v>
      </c>
      <c r="G13">
        <v>6</v>
      </c>
      <c r="H13">
        <v>0</v>
      </c>
      <c r="I13">
        <v>1</v>
      </c>
      <c r="J13">
        <v>2</v>
      </c>
      <c r="K13">
        <v>1540</v>
      </c>
      <c r="L13">
        <v>1510</v>
      </c>
      <c r="M13">
        <v>30</v>
      </c>
    </row>
    <row r="14" spans="1:13">
      <c r="A14" t="s">
        <v>29</v>
      </c>
      <c r="B14" t="s">
        <v>32</v>
      </c>
      <c r="C14" s="2">
        <v>0.20902777777777778</v>
      </c>
      <c r="D14" t="s">
        <v>21</v>
      </c>
      <c r="E14">
        <v>9600</v>
      </c>
      <c r="F14">
        <v>12</v>
      </c>
      <c r="G14">
        <v>2</v>
      </c>
      <c r="H14">
        <v>3</v>
      </c>
      <c r="I14">
        <v>5</v>
      </c>
      <c r="J14">
        <v>1</v>
      </c>
      <c r="K14">
        <v>1520</v>
      </c>
      <c r="L14">
        <v>1490</v>
      </c>
      <c r="M14">
        <v>30</v>
      </c>
    </row>
    <row r="15" spans="1:13">
      <c r="A15" t="s">
        <v>43</v>
      </c>
      <c r="B15" t="s">
        <v>18</v>
      </c>
      <c r="C15" s="2">
        <v>0.12638888888888888</v>
      </c>
      <c r="D15" t="s">
        <v>21</v>
      </c>
      <c r="E15">
        <v>5685</v>
      </c>
      <c r="F15">
        <v>13</v>
      </c>
      <c r="G15">
        <v>0</v>
      </c>
      <c r="H15">
        <v>3</v>
      </c>
      <c r="I15">
        <v>3</v>
      </c>
      <c r="J15">
        <v>2</v>
      </c>
      <c r="K15">
        <v>1520</v>
      </c>
      <c r="L15">
        <v>1510</v>
      </c>
      <c r="M15">
        <v>10</v>
      </c>
    </row>
    <row r="16" spans="1:13">
      <c r="A16" t="s">
        <v>18</v>
      </c>
      <c r="B16" t="s">
        <v>29</v>
      </c>
      <c r="C16" s="2">
        <v>2.0833333333333333E-3</v>
      </c>
      <c r="D16" t="s">
        <v>21</v>
      </c>
      <c r="E16">
        <v>6333</v>
      </c>
      <c r="F16">
        <v>0</v>
      </c>
      <c r="G16">
        <v>12</v>
      </c>
      <c r="H16">
        <v>0</v>
      </c>
      <c r="I16">
        <v>0</v>
      </c>
      <c r="J16">
        <v>3</v>
      </c>
      <c r="K16">
        <v>1529.4249887221547</v>
      </c>
      <c r="L16">
        <v>1500</v>
      </c>
      <c r="M16">
        <v>29.424988722154694</v>
      </c>
    </row>
    <row r="17" spans="1:13">
      <c r="A17" t="s">
        <v>32</v>
      </c>
      <c r="B17" t="s">
        <v>47</v>
      </c>
      <c r="C17" s="2">
        <v>0.16666666666666666</v>
      </c>
      <c r="D17" t="s">
        <v>21</v>
      </c>
      <c r="E17">
        <v>9280</v>
      </c>
      <c r="F17">
        <v>2</v>
      </c>
      <c r="G17">
        <v>7</v>
      </c>
      <c r="H17">
        <v>3</v>
      </c>
      <c r="I17">
        <v>4</v>
      </c>
      <c r="J17">
        <v>0</v>
      </c>
      <c r="K17">
        <v>1510</v>
      </c>
      <c r="L17">
        <v>1480.5750112778453</v>
      </c>
      <c r="M17">
        <v>29.424988722154694</v>
      </c>
    </row>
    <row r="18" spans="1:13">
      <c r="A18" t="s">
        <v>38</v>
      </c>
      <c r="B18" t="s">
        <v>19</v>
      </c>
      <c r="C18" s="2">
        <v>0.16805555555555557</v>
      </c>
      <c r="D18" t="s">
        <v>21</v>
      </c>
      <c r="E18">
        <v>5817</v>
      </c>
      <c r="F18">
        <v>3</v>
      </c>
      <c r="G18">
        <v>10</v>
      </c>
      <c r="H18">
        <v>3</v>
      </c>
      <c r="I18">
        <v>4</v>
      </c>
      <c r="J18">
        <v>2</v>
      </c>
      <c r="K18">
        <v>1549.4249887221547</v>
      </c>
      <c r="L18">
        <v>1500.5750112778453</v>
      </c>
      <c r="M18">
        <v>48.849977444309388</v>
      </c>
    </row>
    <row r="19" spans="1:13">
      <c r="A19" t="s">
        <v>42</v>
      </c>
      <c r="B19" t="s">
        <v>52</v>
      </c>
      <c r="C19" s="2">
        <v>8.4027777777777785E-2</v>
      </c>
      <c r="D19" t="s">
        <v>21</v>
      </c>
      <c r="E19">
        <v>4678</v>
      </c>
      <c r="F19">
        <v>4</v>
      </c>
      <c r="G19">
        <v>9</v>
      </c>
      <c r="H19">
        <v>3</v>
      </c>
      <c r="I19">
        <v>2</v>
      </c>
      <c r="J19">
        <v>1</v>
      </c>
      <c r="K19">
        <v>1529.4249887221547</v>
      </c>
      <c r="L19">
        <v>1480.5750112778453</v>
      </c>
      <c r="M19">
        <v>48.849977444309388</v>
      </c>
    </row>
    <row r="20" spans="1:13">
      <c r="A20" t="s">
        <v>46</v>
      </c>
      <c r="B20" t="s">
        <v>33</v>
      </c>
      <c r="C20" s="2">
        <v>0.20902777777777778</v>
      </c>
      <c r="D20" t="s">
        <v>21</v>
      </c>
      <c r="E20">
        <v>10644</v>
      </c>
      <c r="F20">
        <v>5</v>
      </c>
      <c r="G20">
        <v>11</v>
      </c>
      <c r="H20">
        <v>3</v>
      </c>
      <c r="I20">
        <v>5</v>
      </c>
      <c r="J20">
        <v>1</v>
      </c>
      <c r="K20">
        <v>1549.4249887221547</v>
      </c>
      <c r="L20">
        <v>1500</v>
      </c>
      <c r="M20">
        <v>49.424988722154694</v>
      </c>
    </row>
    <row r="21" spans="1:13">
      <c r="A21" t="s">
        <v>51</v>
      </c>
      <c r="B21" t="s">
        <v>43</v>
      </c>
      <c r="C21" s="2">
        <v>0.12777777777777777</v>
      </c>
      <c r="D21" t="s">
        <v>35</v>
      </c>
      <c r="E21">
        <v>7157</v>
      </c>
      <c r="F21">
        <v>6</v>
      </c>
      <c r="G21">
        <v>13</v>
      </c>
      <c r="H21">
        <v>1</v>
      </c>
      <c r="I21">
        <v>3</v>
      </c>
      <c r="J21">
        <v>4</v>
      </c>
      <c r="K21">
        <v>1550</v>
      </c>
      <c r="L21">
        <v>1500.5750112778453</v>
      </c>
      <c r="M21">
        <v>49.424988722154694</v>
      </c>
    </row>
    <row r="22" spans="1:13">
      <c r="A22" t="s">
        <v>28</v>
      </c>
      <c r="B22" t="s">
        <v>39</v>
      </c>
      <c r="C22" s="2">
        <v>0.25</v>
      </c>
      <c r="D22" t="s">
        <v>21</v>
      </c>
      <c r="E22">
        <v>4859</v>
      </c>
      <c r="F22">
        <v>1</v>
      </c>
      <c r="G22">
        <v>8</v>
      </c>
      <c r="H22">
        <v>3</v>
      </c>
      <c r="I22">
        <v>6</v>
      </c>
      <c r="J22">
        <v>0</v>
      </c>
      <c r="K22">
        <v>1549.4249887221547</v>
      </c>
      <c r="L22">
        <v>1480.5750112778453</v>
      </c>
      <c r="M22">
        <v>68.849977444309388</v>
      </c>
    </row>
    <row r="23" spans="1:13">
      <c r="A23" t="s">
        <v>39</v>
      </c>
      <c r="B23" t="s">
        <v>42</v>
      </c>
      <c r="C23" s="2">
        <v>8.611111111111111E-2</v>
      </c>
      <c r="D23" t="s">
        <v>21</v>
      </c>
      <c r="E23">
        <v>3437</v>
      </c>
      <c r="F23">
        <v>8</v>
      </c>
      <c r="G23">
        <v>4</v>
      </c>
      <c r="H23">
        <v>0</v>
      </c>
      <c r="I23">
        <v>2</v>
      </c>
      <c r="J23">
        <v>4</v>
      </c>
      <c r="K23">
        <v>1501.6885662525876</v>
      </c>
      <c r="L23">
        <v>1508.8829744718662</v>
      </c>
      <c r="M23">
        <v>-7.1944082192785572</v>
      </c>
    </row>
    <row r="24" spans="1:13">
      <c r="A24" t="s">
        <v>52</v>
      </c>
      <c r="B24" t="s">
        <v>18</v>
      </c>
      <c r="C24" s="2">
        <v>0.12569444444444444</v>
      </c>
      <c r="D24" t="s">
        <v>21</v>
      </c>
      <c r="E24">
        <v>14301</v>
      </c>
      <c r="F24">
        <v>9</v>
      </c>
      <c r="G24">
        <v>0</v>
      </c>
      <c r="H24">
        <v>3</v>
      </c>
      <c r="I24">
        <v>3</v>
      </c>
      <c r="J24">
        <v>1</v>
      </c>
      <c r="K24">
        <v>1501.1170255281338</v>
      </c>
      <c r="L24">
        <v>1489.4415388620023</v>
      </c>
      <c r="M24">
        <v>11.675486666131519</v>
      </c>
    </row>
    <row r="25" spans="1:13">
      <c r="A25" t="s">
        <v>47</v>
      </c>
      <c r="B25" t="s">
        <v>33</v>
      </c>
      <c r="C25" s="2">
        <v>0.12638888888888888</v>
      </c>
      <c r="D25" t="s">
        <v>35</v>
      </c>
      <c r="E25">
        <v>5321</v>
      </c>
      <c r="F25">
        <v>7</v>
      </c>
      <c r="G25">
        <v>11</v>
      </c>
      <c r="H25">
        <v>2</v>
      </c>
      <c r="I25">
        <v>3</v>
      </c>
      <c r="J25">
        <v>2</v>
      </c>
      <c r="K25">
        <v>1500.5584611379977</v>
      </c>
      <c r="L25">
        <v>1490.5585142891052</v>
      </c>
      <c r="M25">
        <v>9.9999468488924776</v>
      </c>
    </row>
    <row r="26" spans="1:13">
      <c r="A26" t="s">
        <v>28</v>
      </c>
      <c r="B26" t="s">
        <v>19</v>
      </c>
      <c r="C26" s="2">
        <v>0.16805555555555557</v>
      </c>
      <c r="D26" t="s">
        <v>21</v>
      </c>
      <c r="E26">
        <v>3492</v>
      </c>
      <c r="F26">
        <v>1</v>
      </c>
      <c r="G26">
        <v>10</v>
      </c>
      <c r="H26">
        <v>3</v>
      </c>
      <c r="I26">
        <v>4</v>
      </c>
      <c r="J26">
        <v>2</v>
      </c>
      <c r="K26">
        <v>1558.3114337474124</v>
      </c>
      <c r="L26">
        <v>1491.1170255281338</v>
      </c>
      <c r="M26">
        <v>67.194408219278557</v>
      </c>
    </row>
    <row r="27" spans="1:13">
      <c r="A27" t="s">
        <v>29</v>
      </c>
      <c r="B27" t="s">
        <v>38</v>
      </c>
      <c r="C27" s="2">
        <v>0.45833333333333331</v>
      </c>
      <c r="D27" t="s">
        <v>21</v>
      </c>
      <c r="E27">
        <v>9525</v>
      </c>
      <c r="F27">
        <v>12</v>
      </c>
      <c r="G27">
        <v>3</v>
      </c>
      <c r="H27">
        <v>3</v>
      </c>
      <c r="I27">
        <v>11</v>
      </c>
      <c r="J27">
        <v>0</v>
      </c>
      <c r="K27">
        <v>1539.9834498601524</v>
      </c>
      <c r="L27">
        <v>1528.8829744718662</v>
      </c>
      <c r="M27">
        <v>11.100475388286213</v>
      </c>
    </row>
    <row r="28" spans="1:13">
      <c r="A28" t="s">
        <v>43</v>
      </c>
      <c r="B28" t="s">
        <v>46</v>
      </c>
      <c r="C28" s="2">
        <v>8.4027777777777785E-2</v>
      </c>
      <c r="D28" t="s">
        <v>21</v>
      </c>
      <c r="E28">
        <v>5100</v>
      </c>
      <c r="F28">
        <v>13</v>
      </c>
      <c r="G28">
        <v>5</v>
      </c>
      <c r="H28">
        <v>3</v>
      </c>
      <c r="I28">
        <v>2</v>
      </c>
      <c r="J28">
        <v>1</v>
      </c>
      <c r="K28">
        <v>1531.1335255669505</v>
      </c>
      <c r="L28">
        <v>1528.8664744330495</v>
      </c>
      <c r="M28">
        <v>2.2670511339010773</v>
      </c>
    </row>
    <row r="29" spans="1:13">
      <c r="A29" t="s">
        <v>51</v>
      </c>
      <c r="B29" t="s">
        <v>32</v>
      </c>
      <c r="C29" s="2">
        <v>0.1701388888888889</v>
      </c>
      <c r="D29" t="s">
        <v>63</v>
      </c>
      <c r="E29">
        <v>6879</v>
      </c>
      <c r="F29">
        <v>6</v>
      </c>
      <c r="G29">
        <v>2</v>
      </c>
      <c r="H29">
        <v>1</v>
      </c>
      <c r="I29">
        <v>4</v>
      </c>
      <c r="J29">
        <v>5</v>
      </c>
      <c r="K29">
        <v>1549.4414857108948</v>
      </c>
      <c r="L29">
        <v>1490.0165501398476</v>
      </c>
      <c r="M29">
        <v>59.424935571047172</v>
      </c>
    </row>
    <row r="30" spans="1:13">
      <c r="A30" t="s">
        <v>38</v>
      </c>
      <c r="B30" t="s">
        <v>32</v>
      </c>
      <c r="C30" s="2">
        <v>0.12638888888888888</v>
      </c>
      <c r="D30" t="s">
        <v>21</v>
      </c>
      <c r="E30">
        <v>5217</v>
      </c>
      <c r="F30">
        <v>3</v>
      </c>
      <c r="G30">
        <v>2</v>
      </c>
      <c r="H30">
        <v>3</v>
      </c>
      <c r="I30">
        <v>3</v>
      </c>
      <c r="J30">
        <v>2</v>
      </c>
      <c r="K30">
        <v>1548.3395383400007</v>
      </c>
      <c r="L30">
        <v>1490.8614487631608</v>
      </c>
      <c r="M30">
        <v>57.47808957683992</v>
      </c>
    </row>
    <row r="31" spans="1:13">
      <c r="A31" t="s">
        <v>18</v>
      </c>
      <c r="B31" t="s">
        <v>46</v>
      </c>
      <c r="C31" s="2">
        <v>8.6805555555555552E-2</v>
      </c>
      <c r="D31" t="s">
        <v>21</v>
      </c>
      <c r="E31">
        <v>6309</v>
      </c>
      <c r="F31">
        <v>0</v>
      </c>
      <c r="G31">
        <v>5</v>
      </c>
      <c r="H31">
        <v>0</v>
      </c>
      <c r="I31">
        <v>2</v>
      </c>
      <c r="J31">
        <v>5</v>
      </c>
      <c r="K31">
        <v>1508.9146054778912</v>
      </c>
      <c r="L31">
        <v>1518.0699469804924</v>
      </c>
      <c r="M31">
        <v>-9.1553415026012317</v>
      </c>
    </row>
    <row r="32" spans="1:13">
      <c r="A32" t="s">
        <v>19</v>
      </c>
      <c r="B32" t="s">
        <v>51</v>
      </c>
      <c r="C32" s="2">
        <v>8.6805555555555552E-2</v>
      </c>
      <c r="D32" t="s">
        <v>21</v>
      </c>
      <c r="E32">
        <v>4482</v>
      </c>
      <c r="F32">
        <v>10</v>
      </c>
      <c r="G32">
        <v>6</v>
      </c>
      <c r="H32">
        <v>0</v>
      </c>
      <c r="I32">
        <v>2</v>
      </c>
      <c r="J32">
        <v>5</v>
      </c>
      <c r="K32">
        <v>1512.18349563832</v>
      </c>
      <c r="L32">
        <v>1518.5965870875816</v>
      </c>
      <c r="M32">
        <v>-6.4130914492616284</v>
      </c>
    </row>
    <row r="33" spans="1:13">
      <c r="A33" t="s">
        <v>33</v>
      </c>
      <c r="B33" t="s">
        <v>39</v>
      </c>
      <c r="C33" s="2">
        <v>8.3333333333333329E-2</v>
      </c>
      <c r="D33" t="s">
        <v>21</v>
      </c>
      <c r="E33">
        <v>4950</v>
      </c>
      <c r="F33">
        <v>11</v>
      </c>
      <c r="G33">
        <v>8</v>
      </c>
      <c r="H33">
        <v>3</v>
      </c>
      <c r="I33">
        <v>2</v>
      </c>
      <c r="J33">
        <v>0</v>
      </c>
      <c r="K33">
        <v>1529.9835014865062</v>
      </c>
      <c r="L33">
        <v>1462.7550363627738</v>
      </c>
      <c r="M33">
        <v>67.228465123732349</v>
      </c>
    </row>
    <row r="34" spans="1:13">
      <c r="A34" t="s">
        <v>42</v>
      </c>
      <c r="B34" t="s">
        <v>29</v>
      </c>
      <c r="C34" s="2">
        <v>2.7777777777777779E-3</v>
      </c>
      <c r="D34" t="s">
        <v>21</v>
      </c>
      <c r="E34">
        <v>4157</v>
      </c>
      <c r="F34">
        <v>4</v>
      </c>
      <c r="G34">
        <v>12</v>
      </c>
      <c r="H34">
        <v>0</v>
      </c>
      <c r="I34">
        <v>0</v>
      </c>
      <c r="J34">
        <v>4</v>
      </c>
      <c r="K34">
        <v>1547.81650436168</v>
      </c>
      <c r="L34">
        <v>1520.5268859920179</v>
      </c>
      <c r="M34">
        <v>27.289618369662094</v>
      </c>
    </row>
    <row r="35" spans="1:13">
      <c r="A35" t="s">
        <v>43</v>
      </c>
      <c r="B35" t="s">
        <v>28</v>
      </c>
      <c r="C35" s="2">
        <v>0.12777777777777777</v>
      </c>
      <c r="D35" t="s">
        <v>21</v>
      </c>
      <c r="E35">
        <v>5633</v>
      </c>
      <c r="F35">
        <v>13</v>
      </c>
      <c r="G35">
        <v>1</v>
      </c>
      <c r="H35">
        <v>0</v>
      </c>
      <c r="I35">
        <v>3</v>
      </c>
      <c r="J35">
        <v>4</v>
      </c>
      <c r="K35">
        <v>1541.9300530195076</v>
      </c>
      <c r="L35">
        <v>1537.2449636372262</v>
      </c>
      <c r="M35">
        <v>4.6850893822813759</v>
      </c>
    </row>
    <row r="36" spans="1:13">
      <c r="A36" t="s">
        <v>47</v>
      </c>
      <c r="B36" t="s">
        <v>18</v>
      </c>
      <c r="C36" s="2">
        <v>0.12638888888888888</v>
      </c>
      <c r="D36" t="s">
        <v>63</v>
      </c>
      <c r="E36">
        <v>6039</v>
      </c>
      <c r="F36">
        <v>7</v>
      </c>
      <c r="G36">
        <v>0</v>
      </c>
      <c r="H36">
        <v>2</v>
      </c>
      <c r="I36">
        <v>3</v>
      </c>
      <c r="J36">
        <v>2</v>
      </c>
      <c r="K36">
        <v>1491.1334739405968</v>
      </c>
      <c r="L36">
        <v>1470.0368397000022</v>
      </c>
      <c r="M36">
        <v>21.09663424059454</v>
      </c>
    </row>
    <row r="37" spans="1:13">
      <c r="A37" t="s">
        <v>28</v>
      </c>
      <c r="B37" t="s">
        <v>33</v>
      </c>
      <c r="C37" s="2">
        <v>8.3333333333333329E-2</v>
      </c>
      <c r="D37" t="s">
        <v>21</v>
      </c>
      <c r="E37">
        <v>4754</v>
      </c>
      <c r="F37">
        <v>1</v>
      </c>
      <c r="G37">
        <v>11</v>
      </c>
      <c r="H37">
        <v>3</v>
      </c>
      <c r="I37">
        <v>2</v>
      </c>
      <c r="J37">
        <v>0</v>
      </c>
      <c r="K37">
        <v>1576.5176285994821</v>
      </c>
      <c r="L37">
        <v>1508.9160622987506</v>
      </c>
      <c r="M37">
        <v>67.60156630073152</v>
      </c>
    </row>
    <row r="38" spans="1:13">
      <c r="A38" t="s">
        <v>32</v>
      </c>
      <c r="B38" t="s">
        <v>43</v>
      </c>
      <c r="C38" s="2">
        <v>0.20972222222222223</v>
      </c>
      <c r="D38" t="s">
        <v>21</v>
      </c>
      <c r="E38">
        <v>9280</v>
      </c>
      <c r="F38">
        <v>2</v>
      </c>
      <c r="G38">
        <v>13</v>
      </c>
      <c r="H38">
        <v>3</v>
      </c>
      <c r="I38">
        <v>5</v>
      </c>
      <c r="J38">
        <v>2</v>
      </c>
      <c r="K38">
        <v>1511.6506868912536</v>
      </c>
      <c r="L38">
        <v>1502.6573880572516</v>
      </c>
      <c r="M38">
        <v>8.9932988340019619</v>
      </c>
    </row>
    <row r="39" spans="1:13">
      <c r="A39" t="s">
        <v>29</v>
      </c>
      <c r="B39" t="s">
        <v>19</v>
      </c>
      <c r="C39" s="2">
        <v>0.12847222222222221</v>
      </c>
      <c r="D39" t="s">
        <v>21</v>
      </c>
      <c r="E39">
        <v>8933</v>
      </c>
      <c r="F39">
        <v>12</v>
      </c>
      <c r="G39">
        <v>10</v>
      </c>
      <c r="H39">
        <v>0</v>
      </c>
      <c r="I39">
        <v>3</v>
      </c>
      <c r="J39">
        <v>5</v>
      </c>
      <c r="K39">
        <v>1560.4488765202627</v>
      </c>
      <c r="L39">
        <v>1473.2277281187871</v>
      </c>
      <c r="M39">
        <v>87.221148401475602</v>
      </c>
    </row>
    <row r="40" spans="1:13">
      <c r="A40" t="s">
        <v>46</v>
      </c>
      <c r="B40" t="s">
        <v>38</v>
      </c>
      <c r="C40" s="2">
        <v>8.611111111111111E-2</v>
      </c>
      <c r="D40" t="s">
        <v>21</v>
      </c>
      <c r="E40">
        <v>10177</v>
      </c>
      <c r="F40">
        <v>5</v>
      </c>
      <c r="G40">
        <v>3</v>
      </c>
      <c r="H40">
        <v>0</v>
      </c>
      <c r="I40">
        <v>2</v>
      </c>
      <c r="J40">
        <v>4</v>
      </c>
      <c r="K40">
        <v>1556.9477127583814</v>
      </c>
      <c r="L40">
        <v>1527.5503002119078</v>
      </c>
      <c r="M40">
        <v>29.397412546473561</v>
      </c>
    </row>
    <row r="41" spans="1:13">
      <c r="A41" t="s">
        <v>51</v>
      </c>
      <c r="B41" t="s">
        <v>42</v>
      </c>
      <c r="C41" s="2">
        <v>4.1666666666666666E-3</v>
      </c>
      <c r="D41" t="s">
        <v>21</v>
      </c>
      <c r="E41">
        <v>6992</v>
      </c>
      <c r="F41">
        <v>6</v>
      </c>
      <c r="G41">
        <v>4</v>
      </c>
      <c r="H41">
        <v>0</v>
      </c>
      <c r="I41">
        <v>0</v>
      </c>
      <c r="J41">
        <v>6</v>
      </c>
      <c r="K41">
        <v>1557.5523546071145</v>
      </c>
      <c r="L41">
        <v>1507.8945138334352</v>
      </c>
      <c r="M41">
        <v>49.657840773679254</v>
      </c>
    </row>
    <row r="42" spans="1:13">
      <c r="A42" t="s">
        <v>39</v>
      </c>
      <c r="B42" t="s">
        <v>52</v>
      </c>
      <c r="C42" s="2">
        <v>0.16666666666666666</v>
      </c>
      <c r="D42" t="s">
        <v>21</v>
      </c>
      <c r="E42">
        <v>4204</v>
      </c>
      <c r="F42">
        <v>8</v>
      </c>
      <c r="G42">
        <v>9</v>
      </c>
      <c r="H42">
        <v>3</v>
      </c>
      <c r="I42">
        <v>4</v>
      </c>
      <c r="J42">
        <v>0</v>
      </c>
      <c r="K42">
        <v>1483.8224755505294</v>
      </c>
      <c r="L42">
        <v>1481.6439589122449</v>
      </c>
      <c r="M42">
        <v>2.1785166382844636</v>
      </c>
    </row>
    <row r="43" spans="1:13">
      <c r="A43" t="s">
        <v>32</v>
      </c>
      <c r="B43" t="s">
        <v>46</v>
      </c>
      <c r="C43" s="2">
        <v>0.12638888888888888</v>
      </c>
      <c r="D43" t="s">
        <v>63</v>
      </c>
      <c r="E43">
        <v>9280</v>
      </c>
      <c r="F43">
        <v>2</v>
      </c>
      <c r="G43">
        <v>5</v>
      </c>
      <c r="H43">
        <v>2</v>
      </c>
      <c r="I43">
        <v>3</v>
      </c>
      <c r="J43">
        <v>2</v>
      </c>
      <c r="K43">
        <v>1522.2545726632441</v>
      </c>
      <c r="L43">
        <v>1516.9650566020871</v>
      </c>
      <c r="M43">
        <v>5.2895160611569736</v>
      </c>
    </row>
    <row r="44" spans="1:13">
      <c r="A44" t="s">
        <v>38</v>
      </c>
      <c r="B44" t="s">
        <v>18</v>
      </c>
      <c r="C44" s="2">
        <v>0.21111111111111111</v>
      </c>
      <c r="D44" t="s">
        <v>21</v>
      </c>
      <c r="E44">
        <v>5063</v>
      </c>
      <c r="F44">
        <v>3</v>
      </c>
      <c r="G44">
        <v>0</v>
      </c>
      <c r="H44">
        <v>3</v>
      </c>
      <c r="I44">
        <v>5</v>
      </c>
      <c r="J44">
        <v>4</v>
      </c>
      <c r="K44">
        <v>1567.5329563682021</v>
      </c>
      <c r="L44">
        <v>1479.7806363136024</v>
      </c>
      <c r="M44">
        <v>87.75232005459975</v>
      </c>
    </row>
    <row r="45" spans="1:13">
      <c r="A45" t="s">
        <v>19</v>
      </c>
      <c r="B45" t="s">
        <v>39</v>
      </c>
      <c r="C45" s="2">
        <v>8.4027777777777785E-2</v>
      </c>
      <c r="D45" t="s">
        <v>35</v>
      </c>
      <c r="E45">
        <v>3725</v>
      </c>
      <c r="F45">
        <v>10</v>
      </c>
      <c r="G45">
        <v>8</v>
      </c>
      <c r="H45">
        <v>2</v>
      </c>
      <c r="I45">
        <v>2</v>
      </c>
      <c r="J45">
        <v>1</v>
      </c>
      <c r="K45">
        <v>1514.8599539135516</v>
      </c>
      <c r="L45">
        <v>1464.6215350118789</v>
      </c>
      <c r="M45">
        <v>50.23841890167273</v>
      </c>
    </row>
    <row r="46" spans="1:13">
      <c r="A46" t="s">
        <v>33</v>
      </c>
      <c r="B46" t="s">
        <v>52</v>
      </c>
      <c r="C46" s="2">
        <v>2.0833333333333333E-3</v>
      </c>
      <c r="D46" t="s">
        <v>21</v>
      </c>
      <c r="E46">
        <v>4545</v>
      </c>
      <c r="F46">
        <v>11</v>
      </c>
      <c r="G46">
        <v>9</v>
      </c>
      <c r="H46">
        <v>0</v>
      </c>
      <c r="I46">
        <v>0</v>
      </c>
      <c r="J46">
        <v>3</v>
      </c>
      <c r="K46">
        <v>1529.994116620968</v>
      </c>
      <c r="L46">
        <v>1470.8448994508954</v>
      </c>
      <c r="M46">
        <v>59.149217170072689</v>
      </c>
    </row>
    <row r="47" spans="1:13">
      <c r="A47" t="s">
        <v>29</v>
      </c>
      <c r="B47" t="s">
        <v>43</v>
      </c>
      <c r="C47" s="2">
        <v>0.1673611111111111</v>
      </c>
      <c r="D47" t="s">
        <v>21</v>
      </c>
      <c r="E47">
        <v>7718</v>
      </c>
      <c r="F47">
        <v>12</v>
      </c>
      <c r="G47">
        <v>13</v>
      </c>
      <c r="H47">
        <v>3</v>
      </c>
      <c r="I47">
        <v>4</v>
      </c>
      <c r="J47">
        <v>1</v>
      </c>
      <c r="K47">
        <v>1548.8166507254982</v>
      </c>
      <c r="L47">
        <v>1492.0535022852612</v>
      </c>
      <c r="M47">
        <v>56.763148440237046</v>
      </c>
    </row>
    <row r="48" spans="1:13">
      <c r="A48" t="s">
        <v>42</v>
      </c>
      <c r="B48" t="s">
        <v>47</v>
      </c>
      <c r="C48" s="2">
        <v>0.20972222222222223</v>
      </c>
      <c r="D48" t="s">
        <v>21</v>
      </c>
      <c r="E48">
        <v>3854</v>
      </c>
      <c r="F48">
        <v>4</v>
      </c>
      <c r="G48">
        <v>7</v>
      </c>
      <c r="H48">
        <v>3</v>
      </c>
      <c r="I48">
        <v>5</v>
      </c>
      <c r="J48">
        <v>2</v>
      </c>
      <c r="K48">
        <v>1548.459708986084</v>
      </c>
      <c r="L48">
        <v>1451.3896773269967</v>
      </c>
      <c r="M48">
        <v>97.070031659087363</v>
      </c>
    </row>
    <row r="49" spans="1:13">
      <c r="A49" t="s">
        <v>51</v>
      </c>
      <c r="B49" t="s">
        <v>28</v>
      </c>
      <c r="C49" s="2">
        <v>0.12777777777777777</v>
      </c>
      <c r="D49" t="s">
        <v>63</v>
      </c>
      <c r="E49">
        <v>7450</v>
      </c>
      <c r="F49">
        <v>6</v>
      </c>
      <c r="G49">
        <v>1</v>
      </c>
      <c r="H49">
        <v>1</v>
      </c>
      <c r="I49">
        <v>3</v>
      </c>
      <c r="J49">
        <v>4</v>
      </c>
      <c r="K49">
        <v>1546.9871594544657</v>
      </c>
      <c r="L49">
        <v>1555.4395742772647</v>
      </c>
      <c r="M49">
        <v>-8.4524148227990281</v>
      </c>
    </row>
    <row r="50" spans="1:13">
      <c r="A50" t="s">
        <v>39</v>
      </c>
      <c r="B50" t="s">
        <v>32</v>
      </c>
      <c r="C50" s="2">
        <v>8.6805555555555552E-2</v>
      </c>
      <c r="D50" t="s">
        <v>21</v>
      </c>
      <c r="E50">
        <v>4575</v>
      </c>
      <c r="F50">
        <v>8</v>
      </c>
      <c r="G50">
        <v>2</v>
      </c>
      <c r="H50">
        <v>0</v>
      </c>
      <c r="I50">
        <v>2</v>
      </c>
      <c r="J50">
        <v>5</v>
      </c>
      <c r="K50">
        <v>1505.2033855771961</v>
      </c>
      <c r="L50">
        <v>1482.9646007621825</v>
      </c>
      <c r="M50">
        <v>22.23878481501356</v>
      </c>
    </row>
    <row r="51" spans="1:13">
      <c r="A51" t="s">
        <v>18</v>
      </c>
      <c r="B51" t="s">
        <v>51</v>
      </c>
      <c r="C51" s="2">
        <v>2.7777777777777779E-3</v>
      </c>
      <c r="D51" t="s">
        <v>21</v>
      </c>
      <c r="E51">
        <v>6328</v>
      </c>
      <c r="F51">
        <v>0</v>
      </c>
      <c r="G51">
        <v>6</v>
      </c>
      <c r="H51">
        <v>0</v>
      </c>
      <c r="I51">
        <v>0</v>
      </c>
      <c r="J51">
        <v>4</v>
      </c>
      <c r="K51">
        <v>1501.427739427171</v>
      </c>
      <c r="L51">
        <v>1518.089412112819</v>
      </c>
      <c r="M51">
        <v>-16.661672685648</v>
      </c>
    </row>
    <row r="52" spans="1:13">
      <c r="A52" t="s">
        <v>52</v>
      </c>
      <c r="B52" t="s">
        <v>19</v>
      </c>
      <c r="C52" s="2">
        <v>6.9444444444444447E-4</v>
      </c>
      <c r="D52" t="s">
        <v>21</v>
      </c>
      <c r="E52">
        <v>15421</v>
      </c>
      <c r="F52">
        <v>9</v>
      </c>
      <c r="G52">
        <v>10</v>
      </c>
      <c r="H52">
        <v>0</v>
      </c>
      <c r="I52">
        <v>0</v>
      </c>
      <c r="J52">
        <v>1</v>
      </c>
      <c r="K52">
        <v>1511.6819183841303</v>
      </c>
      <c r="L52">
        <v>1474.2781033482343</v>
      </c>
      <c r="M52">
        <v>37.403815035896059</v>
      </c>
    </row>
    <row r="53" spans="1:13">
      <c r="A53" t="s">
        <v>38</v>
      </c>
      <c r="B53" t="s">
        <v>42</v>
      </c>
      <c r="C53" s="2">
        <v>0.12777777777777777</v>
      </c>
      <c r="D53" t="s">
        <v>21</v>
      </c>
      <c r="E53">
        <v>5387</v>
      </c>
      <c r="F53">
        <v>3</v>
      </c>
      <c r="G53">
        <v>4</v>
      </c>
      <c r="H53">
        <v>0</v>
      </c>
      <c r="I53">
        <v>3</v>
      </c>
      <c r="J53">
        <v>4</v>
      </c>
      <c r="K53">
        <v>1575.8858532546335</v>
      </c>
      <c r="L53">
        <v>1526.5529057330762</v>
      </c>
      <c r="M53">
        <v>49.332947521557344</v>
      </c>
    </row>
    <row r="54" spans="1:13">
      <c r="A54" t="s">
        <v>33</v>
      </c>
      <c r="B54" t="s">
        <v>29</v>
      </c>
      <c r="C54" s="2">
        <v>0.1701388888888889</v>
      </c>
      <c r="D54" t="s">
        <v>21</v>
      </c>
      <c r="E54">
        <v>4702</v>
      </c>
      <c r="F54">
        <v>11</v>
      </c>
      <c r="G54">
        <v>12</v>
      </c>
      <c r="H54">
        <v>0</v>
      </c>
      <c r="I54">
        <v>4</v>
      </c>
      <c r="J54">
        <v>5</v>
      </c>
      <c r="K54">
        <v>1519.1570976877329</v>
      </c>
      <c r="L54">
        <v>1528.0478653726589</v>
      </c>
      <c r="M54">
        <v>-8.8907676849260042</v>
      </c>
    </row>
    <row r="55" spans="1:13">
      <c r="A55" t="s">
        <v>43</v>
      </c>
      <c r="B55" t="s">
        <v>47</v>
      </c>
      <c r="C55" s="2">
        <v>0.12777777777777777</v>
      </c>
      <c r="D55" t="s">
        <v>63</v>
      </c>
      <c r="E55">
        <v>5605</v>
      </c>
      <c r="F55">
        <v>13</v>
      </c>
      <c r="G55">
        <v>7</v>
      </c>
      <c r="H55">
        <v>1</v>
      </c>
      <c r="I55">
        <v>3</v>
      </c>
      <c r="J55">
        <v>4</v>
      </c>
      <c r="K55">
        <v>1512.8222876381005</v>
      </c>
      <c r="L55">
        <v>1443.2964805800045</v>
      </c>
      <c r="M55">
        <v>69.525807058096007</v>
      </c>
    </row>
    <row r="56" spans="1:13">
      <c r="A56" t="s">
        <v>46</v>
      </c>
      <c r="B56" t="s">
        <v>28</v>
      </c>
      <c r="C56" s="2">
        <v>8.6805555555555552E-2</v>
      </c>
      <c r="D56" t="s">
        <v>21</v>
      </c>
      <c r="E56">
        <v>12000</v>
      </c>
      <c r="F56">
        <v>5</v>
      </c>
      <c r="G56">
        <v>1</v>
      </c>
      <c r="H56">
        <v>0</v>
      </c>
      <c r="I56">
        <v>2</v>
      </c>
      <c r="J56">
        <v>5</v>
      </c>
      <c r="K56">
        <v>1556.2550285031487</v>
      </c>
      <c r="L56">
        <v>1554.3373216189113</v>
      </c>
      <c r="M56">
        <v>1.9177068842373046</v>
      </c>
    </row>
    <row r="57" spans="1:13">
      <c r="A57" t="s">
        <v>47</v>
      </c>
      <c r="B57" t="s">
        <v>39</v>
      </c>
      <c r="C57" s="2">
        <v>0.21111111111111111</v>
      </c>
      <c r="D57" t="s">
        <v>63</v>
      </c>
      <c r="E57">
        <v>6151</v>
      </c>
      <c r="F57">
        <v>7</v>
      </c>
      <c r="G57">
        <v>8</v>
      </c>
      <c r="H57">
        <v>2</v>
      </c>
      <c r="I57">
        <v>5</v>
      </c>
      <c r="J57">
        <v>4</v>
      </c>
      <c r="K57">
        <v>1474.4292421051898</v>
      </c>
      <c r="L57">
        <v>1465.4267341570924</v>
      </c>
      <c r="M57">
        <v>9.0025079480974455</v>
      </c>
    </row>
    <row r="58" spans="1:13">
      <c r="A58" t="s">
        <v>28</v>
      </c>
      <c r="B58" t="s">
        <v>38</v>
      </c>
      <c r="C58" s="2">
        <v>0.12638888888888888</v>
      </c>
      <c r="D58" t="s">
        <v>63</v>
      </c>
      <c r="E58">
        <v>4914</v>
      </c>
      <c r="F58">
        <v>1</v>
      </c>
      <c r="G58">
        <v>3</v>
      </c>
      <c r="H58">
        <v>2</v>
      </c>
      <c r="I58">
        <v>3</v>
      </c>
      <c r="J58">
        <v>2</v>
      </c>
      <c r="K58">
        <v>1593.5308038282221</v>
      </c>
      <c r="L58">
        <v>1535.3299798995088</v>
      </c>
      <c r="M58">
        <v>58.200823928713362</v>
      </c>
    </row>
    <row r="59" spans="1:13">
      <c r="A59" t="s">
        <v>32</v>
      </c>
      <c r="B59" t="s">
        <v>18</v>
      </c>
      <c r="C59" s="2">
        <v>0.12569444444444444</v>
      </c>
      <c r="D59" t="s">
        <v>21</v>
      </c>
      <c r="E59">
        <v>9280</v>
      </c>
      <c r="F59">
        <v>2</v>
      </c>
      <c r="G59">
        <v>0</v>
      </c>
      <c r="H59">
        <v>3</v>
      </c>
      <c r="I59">
        <v>3</v>
      </c>
      <c r="J59">
        <v>1</v>
      </c>
      <c r="K59">
        <v>1522.7412521822862</v>
      </c>
      <c r="L59">
        <v>1462.7627532712506</v>
      </c>
      <c r="M59">
        <v>59.978498911035558</v>
      </c>
    </row>
    <row r="60" spans="1:13">
      <c r="A60" t="s">
        <v>19</v>
      </c>
      <c r="B60" t="s">
        <v>43</v>
      </c>
      <c r="C60" s="2">
        <v>8.5416666666666669E-2</v>
      </c>
      <c r="D60" t="s">
        <v>63</v>
      </c>
      <c r="E60">
        <v>4209</v>
      </c>
      <c r="F60">
        <v>10</v>
      </c>
      <c r="G60">
        <v>13</v>
      </c>
      <c r="H60">
        <v>1</v>
      </c>
      <c r="I60">
        <v>2</v>
      </c>
      <c r="J60">
        <v>3</v>
      </c>
      <c r="K60">
        <v>1514.4911700238613</v>
      </c>
      <c r="L60">
        <v>1481.6895261129152</v>
      </c>
      <c r="M60">
        <v>32.801643910946041</v>
      </c>
    </row>
    <row r="61" spans="1:13">
      <c r="A61" t="s">
        <v>42</v>
      </c>
      <c r="B61" t="s">
        <v>33</v>
      </c>
      <c r="C61" s="2">
        <v>4.4444444444444446E-2</v>
      </c>
      <c r="D61" t="s">
        <v>21</v>
      </c>
      <c r="E61">
        <v>4938</v>
      </c>
      <c r="F61">
        <v>4</v>
      </c>
      <c r="G61">
        <v>11</v>
      </c>
      <c r="H61">
        <v>0</v>
      </c>
      <c r="I61">
        <v>1</v>
      </c>
      <c r="J61">
        <v>4</v>
      </c>
      <c r="K61">
        <v>1567.1087790882009</v>
      </c>
      <c r="L61">
        <v>1480.2718121266914</v>
      </c>
      <c r="M61">
        <v>86.836966961509461</v>
      </c>
    </row>
    <row r="62" spans="1:13">
      <c r="A62" t="s">
        <v>51</v>
      </c>
      <c r="B62" t="s">
        <v>46</v>
      </c>
      <c r="C62" s="2">
        <v>8.4027777777777785E-2</v>
      </c>
      <c r="D62" t="s">
        <v>35</v>
      </c>
      <c r="E62">
        <v>7450</v>
      </c>
      <c r="F62">
        <v>6</v>
      </c>
      <c r="G62">
        <v>5</v>
      </c>
      <c r="H62">
        <v>2</v>
      </c>
      <c r="I62">
        <v>2</v>
      </c>
      <c r="J62">
        <v>1</v>
      </c>
      <c r="K62">
        <v>1556.7543982687394</v>
      </c>
      <c r="L62">
        <v>1517.0615462938379</v>
      </c>
      <c r="M62">
        <v>39.692851974901487</v>
      </c>
    </row>
    <row r="63" spans="1:13">
      <c r="A63" t="s">
        <v>29</v>
      </c>
      <c r="B63" t="s">
        <v>52</v>
      </c>
      <c r="C63" s="2">
        <v>0.25208333333333333</v>
      </c>
      <c r="D63" t="s">
        <v>21</v>
      </c>
      <c r="E63">
        <v>9600</v>
      </c>
      <c r="F63">
        <v>12</v>
      </c>
      <c r="G63">
        <v>9</v>
      </c>
      <c r="H63">
        <v>3</v>
      </c>
      <c r="I63">
        <v>6</v>
      </c>
      <c r="J63">
        <v>3</v>
      </c>
      <c r="K63">
        <v>1566.9331509337003</v>
      </c>
      <c r="L63">
        <v>1471.4688517085033</v>
      </c>
      <c r="M63">
        <v>95.46429922519701</v>
      </c>
    </row>
    <row r="64" spans="1:13">
      <c r="A64" t="s">
        <v>39</v>
      </c>
      <c r="B64" t="s">
        <v>29</v>
      </c>
      <c r="C64" s="2">
        <v>4.3055555555555555E-2</v>
      </c>
      <c r="D64" t="s">
        <v>21</v>
      </c>
      <c r="E64">
        <v>3761</v>
      </c>
      <c r="F64">
        <v>8</v>
      </c>
      <c r="G64">
        <v>12</v>
      </c>
      <c r="H64">
        <v>0</v>
      </c>
      <c r="I64">
        <v>1</v>
      </c>
      <c r="J64">
        <v>2</v>
      </c>
      <c r="K64">
        <v>1504.8231124785209</v>
      </c>
      <c r="L64">
        <v>1545.070922948182</v>
      </c>
      <c r="M64">
        <v>-40.24781046966109</v>
      </c>
    </row>
    <row r="65" spans="1:13">
      <c r="A65" t="s">
        <v>52</v>
      </c>
      <c r="B65" t="s">
        <v>32</v>
      </c>
      <c r="C65" s="2">
        <v>4.5138888888888888E-2</v>
      </c>
      <c r="D65" t="s">
        <v>21</v>
      </c>
      <c r="E65">
        <v>15093</v>
      </c>
      <c r="F65">
        <v>9</v>
      </c>
      <c r="G65">
        <v>2</v>
      </c>
      <c r="H65">
        <v>0</v>
      </c>
      <c r="I65">
        <v>1</v>
      </c>
      <c r="J65">
        <v>5</v>
      </c>
      <c r="K65">
        <v>1493.3310796940216</v>
      </c>
      <c r="L65">
        <v>1501.8805366050133</v>
      </c>
      <c r="M65">
        <v>-8.5494569109916938</v>
      </c>
    </row>
    <row r="66" spans="1:13">
      <c r="A66" t="s">
        <v>47</v>
      </c>
      <c r="B66" t="s">
        <v>51</v>
      </c>
      <c r="C66" s="2">
        <v>8.3333333333333329E-2</v>
      </c>
      <c r="D66" t="s">
        <v>21</v>
      </c>
      <c r="E66">
        <v>5481</v>
      </c>
      <c r="F66">
        <v>7</v>
      </c>
      <c r="G66">
        <v>6</v>
      </c>
      <c r="H66">
        <v>3</v>
      </c>
      <c r="I66">
        <v>2</v>
      </c>
      <c r="J66">
        <v>0</v>
      </c>
      <c r="K66">
        <v>1465.0328637837613</v>
      </c>
      <c r="L66">
        <v>1516.4754879190568</v>
      </c>
      <c r="M66">
        <v>-51.442624135295546</v>
      </c>
    </row>
    <row r="67" spans="1:13">
      <c r="A67" t="s">
        <v>33</v>
      </c>
      <c r="B67" t="s">
        <v>18</v>
      </c>
      <c r="C67" s="2">
        <v>4.3055555555555555E-2</v>
      </c>
      <c r="D67" t="s">
        <v>21</v>
      </c>
      <c r="E67">
        <v>6733</v>
      </c>
      <c r="F67">
        <v>11</v>
      </c>
      <c r="G67">
        <v>0</v>
      </c>
      <c r="H67">
        <v>0</v>
      </c>
      <c r="I67">
        <v>1</v>
      </c>
      <c r="J67">
        <v>2</v>
      </c>
      <c r="K67">
        <v>1521.8932729453027</v>
      </c>
      <c r="L67">
        <v>1453.6234688485235</v>
      </c>
      <c r="M67">
        <v>68.269804096779126</v>
      </c>
    </row>
    <row r="68" spans="1:13">
      <c r="A68" t="s">
        <v>42</v>
      </c>
      <c r="B68" t="s">
        <v>28</v>
      </c>
      <c r="C68" s="2">
        <v>0.16875000000000001</v>
      </c>
      <c r="D68" t="s">
        <v>63</v>
      </c>
      <c r="E68">
        <v>5727</v>
      </c>
      <c r="F68">
        <v>4</v>
      </c>
      <c r="G68">
        <v>1</v>
      </c>
      <c r="H68">
        <v>2</v>
      </c>
      <c r="I68">
        <v>4</v>
      </c>
      <c r="J68">
        <v>3</v>
      </c>
      <c r="K68">
        <v>1555.4873182695897</v>
      </c>
      <c r="L68">
        <v>1552.7208967312929</v>
      </c>
      <c r="M68">
        <v>2.7664215382967541</v>
      </c>
    </row>
    <row r="69" spans="1:13">
      <c r="A69" t="s">
        <v>43</v>
      </c>
      <c r="B69" t="s">
        <v>38</v>
      </c>
      <c r="C69" s="2">
        <v>0.12777777777777777</v>
      </c>
      <c r="D69" t="s">
        <v>21</v>
      </c>
      <c r="E69">
        <v>5022</v>
      </c>
      <c r="F69">
        <v>13</v>
      </c>
      <c r="G69">
        <v>3</v>
      </c>
      <c r="H69">
        <v>0</v>
      </c>
      <c r="I69">
        <v>3</v>
      </c>
      <c r="J69">
        <v>4</v>
      </c>
      <c r="K69">
        <v>1511.7701621589642</v>
      </c>
      <c r="L69">
        <v>1546.139886996438</v>
      </c>
      <c r="M69">
        <v>-34.369724837473768</v>
      </c>
    </row>
    <row r="70" spans="1:13">
      <c r="A70" t="s">
        <v>46</v>
      </c>
      <c r="B70" t="s">
        <v>19</v>
      </c>
      <c r="C70" s="2">
        <v>8.3333333333333329E-2</v>
      </c>
      <c r="D70" t="s">
        <v>21</v>
      </c>
      <c r="E70">
        <v>11343</v>
      </c>
      <c r="F70">
        <v>5</v>
      </c>
      <c r="G70">
        <v>10</v>
      </c>
      <c r="H70">
        <v>3</v>
      </c>
      <c r="I70">
        <v>2</v>
      </c>
      <c r="J70">
        <v>0</v>
      </c>
      <c r="K70">
        <v>1557.3404566435204</v>
      </c>
      <c r="L70">
        <v>1484.4105339778123</v>
      </c>
      <c r="M70">
        <v>72.929922665708091</v>
      </c>
    </row>
    <row r="71" spans="1:13">
      <c r="A71" t="s">
        <v>29</v>
      </c>
      <c r="B71" t="s">
        <v>19</v>
      </c>
      <c r="C71" s="2">
        <v>8.4027777777777785E-2</v>
      </c>
      <c r="D71" t="s">
        <v>21</v>
      </c>
      <c r="E71">
        <v>7918</v>
      </c>
      <c r="F71">
        <v>12</v>
      </c>
      <c r="G71">
        <v>10</v>
      </c>
      <c r="H71">
        <v>3</v>
      </c>
      <c r="I71">
        <v>2</v>
      </c>
      <c r="J71">
        <v>1</v>
      </c>
      <c r="K71">
        <v>1583.0761372985389</v>
      </c>
      <c r="L71">
        <v>1475.6399063026254</v>
      </c>
      <c r="M71">
        <v>107.43623099591355</v>
      </c>
    </row>
    <row r="72" spans="1:13">
      <c r="A72" t="s">
        <v>32</v>
      </c>
      <c r="B72" t="s">
        <v>42</v>
      </c>
      <c r="C72" s="2">
        <v>8.5416666666666669E-2</v>
      </c>
      <c r="D72" t="s">
        <v>21</v>
      </c>
      <c r="E72">
        <v>9280</v>
      </c>
      <c r="F72">
        <v>2</v>
      </c>
      <c r="G72">
        <v>4</v>
      </c>
      <c r="H72">
        <v>0</v>
      </c>
      <c r="I72">
        <v>2</v>
      </c>
      <c r="J72">
        <v>3</v>
      </c>
      <c r="K72">
        <v>1540.7755248708772</v>
      </c>
      <c r="L72">
        <v>1516.2695622517083</v>
      </c>
      <c r="M72">
        <v>24.50596261916894</v>
      </c>
    </row>
    <row r="73" spans="1:13">
      <c r="A73" t="s">
        <v>38</v>
      </c>
      <c r="B73" t="s">
        <v>33</v>
      </c>
      <c r="C73" s="2">
        <v>4.5138888888888888E-2</v>
      </c>
      <c r="D73" t="s">
        <v>21</v>
      </c>
      <c r="E73">
        <v>5584</v>
      </c>
      <c r="F73">
        <v>3</v>
      </c>
      <c r="G73">
        <v>11</v>
      </c>
      <c r="H73">
        <v>0</v>
      </c>
      <c r="I73">
        <v>1</v>
      </c>
      <c r="J73">
        <v>5</v>
      </c>
      <c r="K73">
        <v>1584.3080886078137</v>
      </c>
      <c r="L73">
        <v>1480.7962126886316</v>
      </c>
      <c r="M73">
        <v>103.5118759191821</v>
      </c>
    </row>
    <row r="74" spans="1:13">
      <c r="A74" t="s">
        <v>19</v>
      </c>
      <c r="B74" t="s">
        <v>47</v>
      </c>
      <c r="C74" s="2">
        <v>8.4027777777777785E-2</v>
      </c>
      <c r="D74" t="s">
        <v>21</v>
      </c>
      <c r="E74">
        <v>4053</v>
      </c>
      <c r="F74">
        <v>10</v>
      </c>
      <c r="G74">
        <v>7</v>
      </c>
      <c r="H74">
        <v>3</v>
      </c>
      <c r="I74">
        <v>2</v>
      </c>
      <c r="J74">
        <v>1</v>
      </c>
      <c r="K74">
        <v>1497.8325137725517</v>
      </c>
      <c r="L74">
        <v>1447.3349591223639</v>
      </c>
      <c r="M74">
        <v>50.497554650187794</v>
      </c>
    </row>
    <row r="75" spans="1:13">
      <c r="A75" t="s">
        <v>43</v>
      </c>
      <c r="B75" t="s">
        <v>39</v>
      </c>
      <c r="C75" s="2">
        <v>4.1666666666666664E-2</v>
      </c>
      <c r="D75" t="s">
        <v>21</v>
      </c>
      <c r="E75">
        <v>5411</v>
      </c>
      <c r="F75">
        <v>13</v>
      </c>
      <c r="G75">
        <v>8</v>
      </c>
      <c r="H75">
        <v>3</v>
      </c>
      <c r="I75">
        <v>1</v>
      </c>
      <c r="J75">
        <v>0</v>
      </c>
      <c r="K75">
        <v>1503.6019605475885</v>
      </c>
      <c r="L75">
        <v>1466.817898128164</v>
      </c>
      <c r="M75">
        <v>36.784062419424572</v>
      </c>
    </row>
    <row r="76" spans="1:13">
      <c r="A76" t="s">
        <v>46</v>
      </c>
      <c r="B76" t="s">
        <v>52</v>
      </c>
      <c r="C76" s="2">
        <v>0.29375000000000001</v>
      </c>
      <c r="D76" t="s">
        <v>21</v>
      </c>
      <c r="E76">
        <v>10906</v>
      </c>
      <c r="F76">
        <v>5</v>
      </c>
      <c r="G76">
        <v>9</v>
      </c>
      <c r="H76">
        <v>3</v>
      </c>
      <c r="I76">
        <v>7</v>
      </c>
      <c r="J76">
        <v>3</v>
      </c>
      <c r="K76">
        <v>1566.1110843187073</v>
      </c>
      <c r="L76">
        <v>1454.4360914281576</v>
      </c>
      <c r="M76">
        <v>111.67499289054967</v>
      </c>
    </row>
    <row r="77" spans="1:13">
      <c r="A77" t="s">
        <v>51</v>
      </c>
      <c r="B77" t="s">
        <v>29</v>
      </c>
      <c r="C77" s="2">
        <v>0.16805555555555557</v>
      </c>
      <c r="D77" t="s">
        <v>21</v>
      </c>
      <c r="E77">
        <v>7140</v>
      </c>
      <c r="F77">
        <v>6</v>
      </c>
      <c r="G77">
        <v>12</v>
      </c>
      <c r="H77">
        <v>3</v>
      </c>
      <c r="I77">
        <v>4</v>
      </c>
      <c r="J77">
        <v>2</v>
      </c>
      <c r="K77">
        <v>1534.1733925804542</v>
      </c>
      <c r="L77">
        <v>1560.8835298286126</v>
      </c>
      <c r="M77">
        <v>-26.710137248158389</v>
      </c>
    </row>
    <row r="78" spans="1:13">
      <c r="A78" t="s">
        <v>39</v>
      </c>
      <c r="B78" t="s">
        <v>51</v>
      </c>
      <c r="C78" s="2">
        <v>4.3749999999999997E-2</v>
      </c>
      <c r="D78" t="s">
        <v>21</v>
      </c>
      <c r="E78">
        <v>4157</v>
      </c>
      <c r="F78">
        <v>8</v>
      </c>
      <c r="G78">
        <v>6</v>
      </c>
      <c r="H78">
        <v>0</v>
      </c>
      <c r="I78">
        <v>1</v>
      </c>
      <c r="J78">
        <v>3</v>
      </c>
      <c r="K78">
        <v>1487.0131343287765</v>
      </c>
      <c r="L78">
        <v>1515.7912987115612</v>
      </c>
      <c r="M78">
        <v>-28.77816438278478</v>
      </c>
    </row>
    <row r="79" spans="1:13">
      <c r="A79" t="s">
        <v>52</v>
      </c>
      <c r="B79" t="s">
        <v>43</v>
      </c>
      <c r="C79" s="2">
        <v>8.4027777777777785E-2</v>
      </c>
      <c r="D79" t="s">
        <v>21</v>
      </c>
      <c r="E79">
        <v>16131</v>
      </c>
      <c r="F79">
        <v>9</v>
      </c>
      <c r="G79">
        <v>13</v>
      </c>
      <c r="H79">
        <v>3</v>
      </c>
      <c r="I79">
        <v>2</v>
      </c>
      <c r="J79">
        <v>1</v>
      </c>
      <c r="K79">
        <v>1476.7445194552211</v>
      </c>
      <c r="L79">
        <v>1483.406724346976</v>
      </c>
      <c r="M79">
        <v>-6.6622048917549819</v>
      </c>
    </row>
    <row r="80" spans="1:13">
      <c r="A80" t="s">
        <v>28</v>
      </c>
      <c r="B80" t="s">
        <v>32</v>
      </c>
      <c r="C80" s="2">
        <v>0.16805555555555557</v>
      </c>
      <c r="D80" t="s">
        <v>21</v>
      </c>
      <c r="E80">
        <v>5727</v>
      </c>
      <c r="F80">
        <v>1</v>
      </c>
      <c r="G80">
        <v>2</v>
      </c>
      <c r="H80">
        <v>3</v>
      </c>
      <c r="I80">
        <v>4</v>
      </c>
      <c r="J80">
        <v>2</v>
      </c>
      <c r="K80">
        <v>1591.9386527491743</v>
      </c>
      <c r="L80">
        <v>1500.9336427989001</v>
      </c>
      <c r="M80">
        <v>91.005009950274143</v>
      </c>
    </row>
    <row r="81" spans="1:13">
      <c r="A81" t="s">
        <v>29</v>
      </c>
      <c r="B81" t="s">
        <v>46</v>
      </c>
      <c r="C81" s="2">
        <v>4.3749999999999997E-2</v>
      </c>
      <c r="D81" t="s">
        <v>21</v>
      </c>
      <c r="E81">
        <v>9600</v>
      </c>
      <c r="F81">
        <v>12</v>
      </c>
      <c r="G81">
        <v>5</v>
      </c>
      <c r="H81">
        <v>0</v>
      </c>
      <c r="I81">
        <v>1</v>
      </c>
      <c r="J81">
        <v>3</v>
      </c>
      <c r="K81">
        <v>1579.2656236975056</v>
      </c>
      <c r="L81">
        <v>1543.8026562916439</v>
      </c>
      <c r="M81">
        <v>35.462967405861718</v>
      </c>
    </row>
    <row r="82" spans="1:13">
      <c r="A82" t="s">
        <v>42</v>
      </c>
      <c r="B82" t="s">
        <v>18</v>
      </c>
      <c r="C82" s="2">
        <v>0.16805555555555557</v>
      </c>
      <c r="D82" t="s">
        <v>21</v>
      </c>
      <c r="E82">
        <v>5075</v>
      </c>
      <c r="F82">
        <v>4</v>
      </c>
      <c r="G82">
        <v>0</v>
      </c>
      <c r="H82">
        <v>3</v>
      </c>
      <c r="I82">
        <v>4</v>
      </c>
      <c r="J82">
        <v>2</v>
      </c>
      <c r="K82">
        <v>1556.1114443236854</v>
      </c>
      <c r="L82">
        <v>1464.7205291051946</v>
      </c>
      <c r="M82">
        <v>91.390915218490818</v>
      </c>
    </row>
    <row r="83" spans="1:13">
      <c r="A83" t="s">
        <v>47</v>
      </c>
      <c r="B83" t="s">
        <v>38</v>
      </c>
      <c r="C83" s="2">
        <v>0.33333333333333331</v>
      </c>
      <c r="D83" t="s">
        <v>21</v>
      </c>
      <c r="E83">
        <v>6325</v>
      </c>
      <c r="F83">
        <v>7</v>
      </c>
      <c r="G83">
        <v>3</v>
      </c>
      <c r="H83">
        <v>3</v>
      </c>
      <c r="I83">
        <v>8</v>
      </c>
      <c r="J83">
        <v>0</v>
      </c>
      <c r="K83">
        <v>1467.9242426392793</v>
      </c>
      <c r="L83">
        <v>1542.2232653112069</v>
      </c>
      <c r="M83">
        <v>-74.29902267192756</v>
      </c>
    </row>
    <row r="84" spans="1:13">
      <c r="A84" t="s">
        <v>33</v>
      </c>
      <c r="B84" t="s">
        <v>19</v>
      </c>
      <c r="C84" s="2">
        <v>0.21111111111111111</v>
      </c>
      <c r="D84" t="s">
        <v>63</v>
      </c>
      <c r="E84">
        <v>5468</v>
      </c>
      <c r="F84">
        <v>11</v>
      </c>
      <c r="G84">
        <v>10</v>
      </c>
      <c r="H84">
        <v>2</v>
      </c>
      <c r="I84">
        <v>5</v>
      </c>
      <c r="J84">
        <v>4</v>
      </c>
      <c r="K84">
        <v>1522.8810359852384</v>
      </c>
      <c r="L84">
        <v>1477.2432302556363</v>
      </c>
      <c r="M84">
        <v>45.637805729602178</v>
      </c>
    </row>
    <row r="85" spans="1:13">
      <c r="A85" t="s">
        <v>18</v>
      </c>
      <c r="B85" t="s">
        <v>28</v>
      </c>
      <c r="C85" s="2">
        <v>0.17083333333333334</v>
      </c>
      <c r="D85" t="s">
        <v>21</v>
      </c>
      <c r="E85">
        <v>6605</v>
      </c>
      <c r="F85">
        <v>0</v>
      </c>
      <c r="G85">
        <v>1</v>
      </c>
      <c r="H85">
        <v>0</v>
      </c>
      <c r="I85">
        <v>4</v>
      </c>
      <c r="J85">
        <v>6</v>
      </c>
      <c r="K85">
        <v>1486.4693390522241</v>
      </c>
      <c r="L85">
        <v>1570.2006124391905</v>
      </c>
      <c r="M85">
        <v>-83.73127338696645</v>
      </c>
    </row>
    <row r="86" spans="1:13">
      <c r="A86" t="s">
        <v>32</v>
      </c>
      <c r="B86" t="s">
        <v>19</v>
      </c>
      <c r="C86" s="2">
        <v>0.16875000000000001</v>
      </c>
      <c r="D86" t="s">
        <v>63</v>
      </c>
      <c r="E86">
        <v>9280</v>
      </c>
      <c r="F86">
        <v>2</v>
      </c>
      <c r="G86">
        <v>10</v>
      </c>
      <c r="H86">
        <v>2</v>
      </c>
      <c r="I86">
        <v>4</v>
      </c>
      <c r="J86">
        <v>3</v>
      </c>
      <c r="K86">
        <v>1522.6716831088838</v>
      </c>
      <c r="L86">
        <v>1487.6930187944226</v>
      </c>
      <c r="M86">
        <v>34.978664314461184</v>
      </c>
    </row>
    <row r="87" spans="1:13">
      <c r="A87" t="s">
        <v>18</v>
      </c>
      <c r="B87" t="s">
        <v>39</v>
      </c>
      <c r="C87" s="2">
        <v>0.12638888888888888</v>
      </c>
      <c r="D87" t="s">
        <v>21</v>
      </c>
      <c r="E87">
        <v>6546</v>
      </c>
      <c r="F87">
        <v>0</v>
      </c>
      <c r="G87">
        <v>8</v>
      </c>
      <c r="H87">
        <v>3</v>
      </c>
      <c r="I87">
        <v>3</v>
      </c>
      <c r="J87">
        <v>2</v>
      </c>
      <c r="K87">
        <v>1479.6306695942089</v>
      </c>
      <c r="L87">
        <v>1448.6889485392433</v>
      </c>
      <c r="M87">
        <v>30.941721054965683</v>
      </c>
    </row>
    <row r="88" spans="1:13">
      <c r="A88" t="s">
        <v>33</v>
      </c>
      <c r="B88" t="s">
        <v>43</v>
      </c>
      <c r="C88" s="2">
        <v>8.6805555555555552E-2</v>
      </c>
      <c r="D88" t="s">
        <v>21</v>
      </c>
      <c r="E88">
        <v>4811</v>
      </c>
      <c r="F88">
        <v>11</v>
      </c>
      <c r="G88">
        <v>13</v>
      </c>
      <c r="H88">
        <v>0</v>
      </c>
      <c r="I88">
        <v>2</v>
      </c>
      <c r="J88">
        <v>5</v>
      </c>
      <c r="K88">
        <v>1512.4312474464521</v>
      </c>
      <c r="L88">
        <v>1472.3554005213161</v>
      </c>
      <c r="M88">
        <v>40.07584692513592</v>
      </c>
    </row>
    <row r="89" spans="1:13">
      <c r="A89" t="s">
        <v>29</v>
      </c>
      <c r="B89" t="s">
        <v>47</v>
      </c>
      <c r="C89" s="2">
        <v>0.12777777777777777</v>
      </c>
      <c r="D89" t="s">
        <v>21</v>
      </c>
      <c r="E89">
        <v>9505</v>
      </c>
      <c r="F89">
        <v>12</v>
      </c>
      <c r="G89">
        <v>7</v>
      </c>
      <c r="H89">
        <v>0</v>
      </c>
      <c r="I89">
        <v>3</v>
      </c>
      <c r="J89">
        <v>4</v>
      </c>
      <c r="K89">
        <v>1569.1083998129316</v>
      </c>
      <c r="L89">
        <v>1450.839168904525</v>
      </c>
      <c r="M89">
        <v>118.2692309084066</v>
      </c>
    </row>
    <row r="90" spans="1:13">
      <c r="A90" t="s">
        <v>42</v>
      </c>
      <c r="B90" t="s">
        <v>46</v>
      </c>
      <c r="C90" s="2">
        <v>0.12638888888888888</v>
      </c>
      <c r="D90" t="s">
        <v>21</v>
      </c>
      <c r="E90">
        <v>5962</v>
      </c>
      <c r="F90">
        <v>4</v>
      </c>
      <c r="G90">
        <v>5</v>
      </c>
      <c r="H90">
        <v>3</v>
      </c>
      <c r="I90">
        <v>3</v>
      </c>
      <c r="J90">
        <v>2</v>
      </c>
      <c r="K90">
        <v>1564.3626343766559</v>
      </c>
      <c r="L90">
        <v>1553.9598801762179</v>
      </c>
      <c r="M90">
        <v>10.402754200438039</v>
      </c>
    </row>
    <row r="91" spans="1:13">
      <c r="A91" t="s">
        <v>51</v>
      </c>
      <c r="B91" t="s">
        <v>38</v>
      </c>
      <c r="C91" s="2">
        <v>4.4444444444444446E-2</v>
      </c>
      <c r="D91" t="s">
        <v>21</v>
      </c>
      <c r="E91">
        <v>7034</v>
      </c>
      <c r="F91">
        <v>6</v>
      </c>
      <c r="G91">
        <v>3</v>
      </c>
      <c r="H91">
        <v>0</v>
      </c>
      <c r="I91">
        <v>1</v>
      </c>
      <c r="J91">
        <v>4</v>
      </c>
      <c r="K91">
        <v>1554.1154845010944</v>
      </c>
      <c r="L91">
        <v>1529.3083390459612</v>
      </c>
      <c r="M91">
        <v>24.807145455133195</v>
      </c>
    </row>
    <row r="92" spans="1:13">
      <c r="A92" t="s">
        <v>52</v>
      </c>
      <c r="B92" t="s">
        <v>51</v>
      </c>
      <c r="C92" s="2">
        <v>0.125</v>
      </c>
      <c r="D92" t="s">
        <v>21</v>
      </c>
      <c r="E92">
        <v>16322</v>
      </c>
      <c r="F92">
        <v>9</v>
      </c>
      <c r="G92">
        <v>6</v>
      </c>
      <c r="H92">
        <v>3</v>
      </c>
      <c r="I92">
        <v>3</v>
      </c>
      <c r="J92">
        <v>0</v>
      </c>
      <c r="K92">
        <v>1487.7958432808809</v>
      </c>
      <c r="L92">
        <v>1514.2649357409366</v>
      </c>
      <c r="M92">
        <v>-26.469092460055663</v>
      </c>
    </row>
    <row r="93" spans="1:13">
      <c r="A93" t="s">
        <v>47</v>
      </c>
      <c r="B93" t="s">
        <v>32</v>
      </c>
      <c r="C93" s="2">
        <v>8.4027777777777785E-2</v>
      </c>
      <c r="D93" t="s">
        <v>63</v>
      </c>
      <c r="E93">
        <v>6556</v>
      </c>
      <c r="F93">
        <v>7</v>
      </c>
      <c r="G93">
        <v>2</v>
      </c>
      <c r="H93">
        <v>2</v>
      </c>
      <c r="I93">
        <v>2</v>
      </c>
      <c r="J93">
        <v>1</v>
      </c>
      <c r="K93">
        <v>1493.3264751530651</v>
      </c>
      <c r="L93">
        <v>1482.528395438474</v>
      </c>
      <c r="M93">
        <v>10.79807971459104</v>
      </c>
    </row>
    <row r="94" spans="1:13">
      <c r="A94" t="s">
        <v>19</v>
      </c>
      <c r="B94" t="s">
        <v>28</v>
      </c>
      <c r="C94" s="2">
        <v>8.5416666666666669E-2</v>
      </c>
      <c r="D94" t="s">
        <v>21</v>
      </c>
      <c r="E94">
        <v>6151</v>
      </c>
      <c r="F94">
        <v>10</v>
      </c>
      <c r="G94">
        <v>1</v>
      </c>
      <c r="H94">
        <v>0</v>
      </c>
      <c r="I94">
        <v>2</v>
      </c>
      <c r="J94">
        <v>3</v>
      </c>
      <c r="K94">
        <v>1527.8363064648324</v>
      </c>
      <c r="L94">
        <v>1577.0392818972057</v>
      </c>
      <c r="M94">
        <v>-49.20297543237325</v>
      </c>
    </row>
    <row r="95" spans="1:13">
      <c r="A95" t="s">
        <v>43</v>
      </c>
      <c r="B95" t="s">
        <v>42</v>
      </c>
      <c r="C95" s="2">
        <v>4.4444444444444446E-2</v>
      </c>
      <c r="D95" t="s">
        <v>21</v>
      </c>
      <c r="E95">
        <v>5726</v>
      </c>
      <c r="F95">
        <v>13</v>
      </c>
      <c r="G95">
        <v>4</v>
      </c>
      <c r="H95">
        <v>0</v>
      </c>
      <c r="I95">
        <v>1</v>
      </c>
      <c r="J95">
        <v>4</v>
      </c>
      <c r="K95">
        <v>1512.6453254334021</v>
      </c>
      <c r="L95">
        <v>1544.9260910199675</v>
      </c>
      <c r="M95">
        <v>-32.280765586565394</v>
      </c>
    </row>
    <row r="96" spans="1:13">
      <c r="A96" t="s">
        <v>46</v>
      </c>
      <c r="B96" t="s">
        <v>18</v>
      </c>
      <c r="C96" s="2">
        <v>4.3055555555555555E-2</v>
      </c>
      <c r="D96" t="s">
        <v>21</v>
      </c>
      <c r="E96">
        <v>11078</v>
      </c>
      <c r="F96">
        <v>5</v>
      </c>
      <c r="G96">
        <v>0</v>
      </c>
      <c r="H96">
        <v>0</v>
      </c>
      <c r="I96">
        <v>1</v>
      </c>
      <c r="J96">
        <v>2</v>
      </c>
      <c r="K96">
        <v>1573.3964235329063</v>
      </c>
      <c r="L96">
        <v>1459.6035647497999</v>
      </c>
      <c r="M96">
        <v>113.79285878310634</v>
      </c>
    </row>
    <row r="97" spans="1:13">
      <c r="A97" t="s">
        <v>39</v>
      </c>
      <c r="B97" t="s">
        <v>33</v>
      </c>
      <c r="C97" s="2">
        <v>4.3055555555555555E-2</v>
      </c>
      <c r="D97" t="s">
        <v>21</v>
      </c>
      <c r="E97">
        <v>4720</v>
      </c>
      <c r="F97">
        <v>8</v>
      </c>
      <c r="G97">
        <v>11</v>
      </c>
      <c r="H97">
        <v>0</v>
      </c>
      <c r="I97">
        <v>1</v>
      </c>
      <c r="J97">
        <v>2</v>
      </c>
      <c r="K97">
        <v>1468.7160533836523</v>
      </c>
      <c r="L97">
        <v>1472.1413225343661</v>
      </c>
      <c r="M97">
        <v>-3.4252691507138024</v>
      </c>
    </row>
    <row r="98" spans="1:13">
      <c r="A98" t="s">
        <v>38</v>
      </c>
      <c r="B98" t="s">
        <v>29</v>
      </c>
      <c r="C98" s="2">
        <v>0.21041666666666667</v>
      </c>
      <c r="D98" t="s">
        <v>21</v>
      </c>
      <c r="E98">
        <v>7135</v>
      </c>
      <c r="F98">
        <v>3</v>
      </c>
      <c r="G98">
        <v>12</v>
      </c>
      <c r="H98">
        <v>3</v>
      </c>
      <c r="I98">
        <v>5</v>
      </c>
      <c r="J98">
        <v>3</v>
      </c>
      <c r="K98">
        <v>1569.1588878061191</v>
      </c>
      <c r="L98">
        <v>1526.6210935643915</v>
      </c>
      <c r="M98">
        <v>42.537794241727624</v>
      </c>
    </row>
    <row r="99" spans="1:13">
      <c r="A99" t="s">
        <v>28</v>
      </c>
      <c r="B99" t="s">
        <v>52</v>
      </c>
      <c r="C99" s="2">
        <v>8.4027777777777785E-2</v>
      </c>
      <c r="D99" t="s">
        <v>21</v>
      </c>
      <c r="E99">
        <v>6547</v>
      </c>
      <c r="F99">
        <v>1</v>
      </c>
      <c r="G99">
        <v>9</v>
      </c>
      <c r="H99">
        <v>3</v>
      </c>
      <c r="I99">
        <v>2</v>
      </c>
      <c r="J99">
        <v>1</v>
      </c>
      <c r="K99">
        <v>1614.7983224376344</v>
      </c>
      <c r="L99">
        <v>1469.4069924338767</v>
      </c>
      <c r="M99">
        <v>145.39133000375773</v>
      </c>
    </row>
    <row r="100" spans="1:13">
      <c r="A100" t="s">
        <v>33</v>
      </c>
      <c r="B100" t="s">
        <v>28</v>
      </c>
      <c r="C100" s="2">
        <v>2.0833333333333333E-3</v>
      </c>
      <c r="D100" t="s">
        <v>21</v>
      </c>
      <c r="E100">
        <v>5696</v>
      </c>
      <c r="F100">
        <v>11</v>
      </c>
      <c r="G100">
        <v>1</v>
      </c>
      <c r="H100">
        <v>0</v>
      </c>
      <c r="I100">
        <v>0</v>
      </c>
      <c r="J100">
        <v>3</v>
      </c>
      <c r="K100">
        <v>1511.1822231199283</v>
      </c>
      <c r="L100">
        <v>1591.5940519779538</v>
      </c>
      <c r="M100">
        <v>-80.411828858025501</v>
      </c>
    </row>
    <row r="101" spans="1:13">
      <c r="A101" t="s">
        <v>39</v>
      </c>
      <c r="B101" t="s">
        <v>19</v>
      </c>
      <c r="C101" s="2">
        <v>2.0833333333333333E-3</v>
      </c>
      <c r="D101" t="s">
        <v>21</v>
      </c>
      <c r="E101">
        <v>4141</v>
      </c>
      <c r="F101">
        <v>8</v>
      </c>
      <c r="G101">
        <v>10</v>
      </c>
      <c r="H101">
        <v>0</v>
      </c>
      <c r="I101">
        <v>0</v>
      </c>
      <c r="J101">
        <v>3</v>
      </c>
      <c r="K101">
        <v>1459.67515279809</v>
      </c>
      <c r="L101">
        <v>1490.0772659244037</v>
      </c>
      <c r="M101">
        <v>-30.402113126313679</v>
      </c>
    </row>
    <row r="102" spans="1:13">
      <c r="A102" t="s">
        <v>18</v>
      </c>
      <c r="B102" t="s">
        <v>43</v>
      </c>
      <c r="C102" s="2">
        <v>8.611111111111111E-2</v>
      </c>
      <c r="D102" t="s">
        <v>21</v>
      </c>
      <c r="E102">
        <v>6356</v>
      </c>
      <c r="F102">
        <v>0</v>
      </c>
      <c r="G102">
        <v>13</v>
      </c>
      <c r="H102">
        <v>0</v>
      </c>
      <c r="I102">
        <v>2</v>
      </c>
      <c r="J102">
        <v>4</v>
      </c>
      <c r="K102">
        <v>1501.9696197484493</v>
      </c>
      <c r="L102">
        <v>1474.4189528630941</v>
      </c>
      <c r="M102">
        <v>27.550666885355213</v>
      </c>
    </row>
    <row r="103" spans="1:13">
      <c r="A103" t="s">
        <v>52</v>
      </c>
      <c r="B103" t="s">
        <v>29</v>
      </c>
      <c r="C103" s="2">
        <v>1.3888888888888889E-3</v>
      </c>
      <c r="D103" t="s">
        <v>21</v>
      </c>
      <c r="E103">
        <v>14793</v>
      </c>
      <c r="F103">
        <v>9</v>
      </c>
      <c r="G103">
        <v>12</v>
      </c>
      <c r="H103">
        <v>0</v>
      </c>
      <c r="I103">
        <v>0</v>
      </c>
      <c r="J103">
        <v>2</v>
      </c>
      <c r="K103">
        <v>1492.6112628935573</v>
      </c>
      <c r="L103">
        <v>1516.9818037264615</v>
      </c>
      <c r="M103">
        <v>-24.370540832904226</v>
      </c>
    </row>
    <row r="104" spans="1:13">
      <c r="A104" t="s">
        <v>47</v>
      </c>
      <c r="B104" t="s">
        <v>42</v>
      </c>
      <c r="C104" s="2">
        <v>0.17083333333333334</v>
      </c>
      <c r="D104" t="s">
        <v>21</v>
      </c>
      <c r="E104">
        <v>5931</v>
      </c>
      <c r="F104">
        <v>7</v>
      </c>
      <c r="G104">
        <v>4</v>
      </c>
      <c r="H104">
        <v>0</v>
      </c>
      <c r="I104">
        <v>4</v>
      </c>
      <c r="J104">
        <v>6</v>
      </c>
      <c r="K104">
        <v>1483.8785888155764</v>
      </c>
      <c r="L104">
        <v>1553.1524635902756</v>
      </c>
      <c r="M104">
        <v>-69.273874774699152</v>
      </c>
    </row>
    <row r="105" spans="1:13">
      <c r="A105" t="s">
        <v>32</v>
      </c>
      <c r="B105" t="s">
        <v>38</v>
      </c>
      <c r="C105" s="2">
        <v>0.25138888888888888</v>
      </c>
      <c r="D105" t="s">
        <v>21</v>
      </c>
      <c r="E105">
        <v>9280</v>
      </c>
      <c r="F105">
        <v>2</v>
      </c>
      <c r="G105">
        <v>3</v>
      </c>
      <c r="H105">
        <v>3</v>
      </c>
      <c r="I105">
        <v>6</v>
      </c>
      <c r="J105">
        <v>2</v>
      </c>
      <c r="K105">
        <v>1521.9762817759627</v>
      </c>
      <c r="L105">
        <v>1548.798177644049</v>
      </c>
      <c r="M105">
        <v>-26.821895868086358</v>
      </c>
    </row>
    <row r="106" spans="1:13">
      <c r="A106" t="s">
        <v>46</v>
      </c>
      <c r="B106" t="s">
        <v>51</v>
      </c>
      <c r="C106" s="2">
        <v>8.5416666666666669E-2</v>
      </c>
      <c r="D106" t="s">
        <v>63</v>
      </c>
      <c r="E106">
        <v>11529</v>
      </c>
      <c r="F106">
        <v>5</v>
      </c>
      <c r="G106">
        <v>6</v>
      </c>
      <c r="H106">
        <v>1</v>
      </c>
      <c r="I106">
        <v>2</v>
      </c>
      <c r="J106">
        <v>3</v>
      </c>
      <c r="K106">
        <v>1561.0303685342569</v>
      </c>
      <c r="L106">
        <v>1502.6537865879409</v>
      </c>
      <c r="M106">
        <v>58.376581946316037</v>
      </c>
    </row>
    <row r="107" spans="1:13">
      <c r="A107" t="s">
        <v>28</v>
      </c>
      <c r="B107" t="s">
        <v>46</v>
      </c>
      <c r="C107" s="2">
        <v>0.12569444444444444</v>
      </c>
      <c r="D107" t="s">
        <v>21</v>
      </c>
      <c r="E107">
        <v>6547</v>
      </c>
      <c r="F107">
        <v>1</v>
      </c>
      <c r="G107">
        <v>5</v>
      </c>
      <c r="H107">
        <v>3</v>
      </c>
      <c r="I107">
        <v>3</v>
      </c>
      <c r="J107">
        <v>1</v>
      </c>
      <c r="K107">
        <v>1628.5189722078096</v>
      </c>
      <c r="L107">
        <v>1530.2154361039222</v>
      </c>
      <c r="M107">
        <v>98.303536103887382</v>
      </c>
    </row>
    <row r="108" spans="1:13">
      <c r="A108" t="s">
        <v>38</v>
      </c>
      <c r="B108" t="s">
        <v>52</v>
      </c>
      <c r="C108" s="2">
        <v>8.4027777777777785E-2</v>
      </c>
      <c r="D108" t="s">
        <v>35</v>
      </c>
      <c r="E108">
        <v>7135</v>
      </c>
      <c r="F108">
        <v>3</v>
      </c>
      <c r="G108">
        <v>9</v>
      </c>
      <c r="H108">
        <v>2</v>
      </c>
      <c r="I108">
        <v>2</v>
      </c>
      <c r="J108">
        <v>1</v>
      </c>
      <c r="K108">
        <v>1567.1771392046592</v>
      </c>
      <c r="L108">
        <v>1454.1635221772549</v>
      </c>
      <c r="M108">
        <v>113.01361702740428</v>
      </c>
    </row>
    <row r="109" spans="1:13">
      <c r="A109" t="s">
        <v>19</v>
      </c>
      <c r="B109" t="s">
        <v>18</v>
      </c>
      <c r="C109" s="2">
        <v>4.3749999999999997E-2</v>
      </c>
      <c r="D109" t="s">
        <v>21</v>
      </c>
      <c r="E109">
        <v>5474</v>
      </c>
      <c r="F109">
        <v>10</v>
      </c>
      <c r="G109">
        <v>0</v>
      </c>
      <c r="H109">
        <v>0</v>
      </c>
      <c r="I109">
        <v>1</v>
      </c>
      <c r="J109">
        <v>3</v>
      </c>
      <c r="K109">
        <v>1528.3560592504248</v>
      </c>
      <c r="L109">
        <v>1462.0401160545589</v>
      </c>
      <c r="M109">
        <v>66.315943195865884</v>
      </c>
    </row>
    <row r="110" spans="1:13">
      <c r="A110" t="s">
        <v>29</v>
      </c>
      <c r="B110" t="s">
        <v>33</v>
      </c>
      <c r="C110" s="2">
        <v>4.5138888888888888E-2</v>
      </c>
      <c r="D110" t="s">
        <v>21</v>
      </c>
      <c r="E110">
        <v>9600</v>
      </c>
      <c r="F110">
        <v>12</v>
      </c>
      <c r="G110">
        <v>11</v>
      </c>
      <c r="H110">
        <v>0</v>
      </c>
      <c r="I110">
        <v>1</v>
      </c>
      <c r="J110">
        <v>5</v>
      </c>
      <c r="K110">
        <v>1555.4295444427639</v>
      </c>
      <c r="L110">
        <v>1474.2573028900724</v>
      </c>
      <c r="M110">
        <v>81.172241552691503</v>
      </c>
    </row>
    <row r="111" spans="1:13">
      <c r="A111" t="s">
        <v>43</v>
      </c>
      <c r="B111" t="s">
        <v>32</v>
      </c>
      <c r="C111" s="2">
        <v>0.25</v>
      </c>
      <c r="D111" t="s">
        <v>21</v>
      </c>
      <c r="E111">
        <v>6000</v>
      </c>
      <c r="F111">
        <v>13</v>
      </c>
      <c r="G111">
        <v>2</v>
      </c>
      <c r="H111">
        <v>3</v>
      </c>
      <c r="I111">
        <v>6</v>
      </c>
      <c r="J111">
        <v>0</v>
      </c>
      <c r="K111">
        <v>1514.3484565569845</v>
      </c>
      <c r="L111">
        <v>1503.5973202153525</v>
      </c>
      <c r="M111">
        <v>10.751136341631991</v>
      </c>
    </row>
    <row r="112" spans="1:13">
      <c r="A112" t="s">
        <v>42</v>
      </c>
      <c r="B112" t="s">
        <v>39</v>
      </c>
      <c r="C112" s="2">
        <v>0.12638888888888888</v>
      </c>
      <c r="D112" t="s">
        <v>21</v>
      </c>
      <c r="E112">
        <v>5619</v>
      </c>
      <c r="F112">
        <v>4</v>
      </c>
      <c r="G112">
        <v>8</v>
      </c>
      <c r="H112">
        <v>3</v>
      </c>
      <c r="I112">
        <v>3</v>
      </c>
      <c r="J112">
        <v>2</v>
      </c>
      <c r="K112">
        <v>1590.3704343647546</v>
      </c>
      <c r="L112">
        <v>1421.396359472069</v>
      </c>
      <c r="M112">
        <v>168.97407489268562</v>
      </c>
    </row>
    <row r="113" spans="1:13">
      <c r="A113" t="s">
        <v>51</v>
      </c>
      <c r="B113" t="s">
        <v>47</v>
      </c>
      <c r="C113" s="2">
        <v>0.16875000000000001</v>
      </c>
      <c r="D113" t="s">
        <v>21</v>
      </c>
      <c r="E113">
        <v>7450</v>
      </c>
      <c r="F113">
        <v>6</v>
      </c>
      <c r="G113">
        <v>7</v>
      </c>
      <c r="H113">
        <v>3</v>
      </c>
      <c r="I113">
        <v>4</v>
      </c>
      <c r="J113">
        <v>3</v>
      </c>
      <c r="K113">
        <v>1533.4687190182756</v>
      </c>
      <c r="L113">
        <v>1446.6606180410975</v>
      </c>
      <c r="M113">
        <v>86.808100977178128</v>
      </c>
    </row>
    <row r="114" spans="1:13">
      <c r="A114" t="s">
        <v>39</v>
      </c>
      <c r="B114" t="s">
        <v>43</v>
      </c>
      <c r="C114" s="2">
        <v>8.4027777777777785E-2</v>
      </c>
      <c r="D114" t="s">
        <v>21</v>
      </c>
      <c r="E114">
        <v>3498</v>
      </c>
      <c r="F114">
        <v>8</v>
      </c>
      <c r="G114">
        <v>13</v>
      </c>
      <c r="H114">
        <v>3</v>
      </c>
      <c r="I114">
        <v>2</v>
      </c>
      <c r="J114">
        <v>1</v>
      </c>
      <c r="K114">
        <v>1445.1958451710946</v>
      </c>
      <c r="L114">
        <v>1494.9019172296541</v>
      </c>
      <c r="M114">
        <v>-49.706072058559585</v>
      </c>
    </row>
    <row r="115" spans="1:13">
      <c r="A115" t="s">
        <v>18</v>
      </c>
      <c r="B115" t="s">
        <v>52</v>
      </c>
      <c r="C115" s="2">
        <v>3.472222222222222E-3</v>
      </c>
      <c r="D115" t="s">
        <v>21</v>
      </c>
      <c r="E115">
        <v>6031</v>
      </c>
      <c r="F115">
        <v>0</v>
      </c>
      <c r="G115">
        <v>9</v>
      </c>
      <c r="H115">
        <v>0</v>
      </c>
      <c r="I115">
        <v>0</v>
      </c>
      <c r="J115">
        <v>5</v>
      </c>
      <c r="K115">
        <v>1503.0815827926783</v>
      </c>
      <c r="L115">
        <v>1466.5083931783784</v>
      </c>
      <c r="M115">
        <v>36.573189614299963</v>
      </c>
    </row>
    <row r="116" spans="1:13">
      <c r="A116" t="s">
        <v>28</v>
      </c>
      <c r="B116" t="s">
        <v>47</v>
      </c>
      <c r="C116" s="2">
        <v>0.16875000000000001</v>
      </c>
      <c r="D116" t="s">
        <v>35</v>
      </c>
      <c r="E116">
        <v>4099</v>
      </c>
      <c r="F116">
        <v>1</v>
      </c>
      <c r="G116">
        <v>7</v>
      </c>
      <c r="H116">
        <v>2</v>
      </c>
      <c r="I116">
        <v>4</v>
      </c>
      <c r="J116">
        <v>3</v>
      </c>
      <c r="K116">
        <v>1636.5779799888351</v>
      </c>
      <c r="L116">
        <v>1438.281269862636</v>
      </c>
      <c r="M116">
        <v>198.29671012619906</v>
      </c>
    </row>
    <row r="117" spans="1:13">
      <c r="A117" t="s">
        <v>32</v>
      </c>
      <c r="B117" t="s">
        <v>51</v>
      </c>
      <c r="C117" s="2">
        <v>0.20972222222222223</v>
      </c>
      <c r="D117" t="s">
        <v>21</v>
      </c>
      <c r="E117">
        <v>9372</v>
      </c>
      <c r="F117">
        <v>2</v>
      </c>
      <c r="G117">
        <v>6</v>
      </c>
      <c r="H117">
        <v>3</v>
      </c>
      <c r="I117">
        <v>5</v>
      </c>
      <c r="J117">
        <v>2</v>
      </c>
      <c r="K117">
        <v>1523.0438595426829</v>
      </c>
      <c r="L117">
        <v>1511.848067196737</v>
      </c>
      <c r="M117">
        <v>11.195792345945847</v>
      </c>
    </row>
    <row r="118" spans="1:13">
      <c r="A118" t="s">
        <v>19</v>
      </c>
      <c r="B118" t="s">
        <v>38</v>
      </c>
      <c r="C118" s="2">
        <v>8.5416666666666669E-2</v>
      </c>
      <c r="D118" t="s">
        <v>63</v>
      </c>
      <c r="E118">
        <v>3721</v>
      </c>
      <c r="F118">
        <v>10</v>
      </c>
      <c r="G118">
        <v>3</v>
      </c>
      <c r="H118">
        <v>1</v>
      </c>
      <c r="I118">
        <v>2</v>
      </c>
      <c r="J118">
        <v>3</v>
      </c>
      <c r="K118">
        <v>1517.3145925123054</v>
      </c>
      <c r="L118">
        <v>1524.8322682035357</v>
      </c>
      <c r="M118">
        <v>-7.5176756912303517</v>
      </c>
    </row>
    <row r="119" spans="1:13">
      <c r="A119" t="s">
        <v>33</v>
      </c>
      <c r="B119" t="s">
        <v>46</v>
      </c>
      <c r="C119" s="2">
        <v>0.20902777777777778</v>
      </c>
      <c r="D119" t="s">
        <v>21</v>
      </c>
      <c r="E119">
        <v>4958</v>
      </c>
      <c r="F119">
        <v>11</v>
      </c>
      <c r="G119">
        <v>5</v>
      </c>
      <c r="H119">
        <v>3</v>
      </c>
      <c r="I119">
        <v>5</v>
      </c>
      <c r="J119">
        <v>1</v>
      </c>
      <c r="K119">
        <v>1515.7195997726401</v>
      </c>
      <c r="L119">
        <v>1522.1564283228968</v>
      </c>
      <c r="M119">
        <v>-6.4368285502566778</v>
      </c>
    </row>
    <row r="120" spans="1:13">
      <c r="A120" t="s">
        <v>29</v>
      </c>
      <c r="B120" t="s">
        <v>42</v>
      </c>
      <c r="C120" s="2">
        <v>8.4027777777777785E-2</v>
      </c>
      <c r="D120" t="s">
        <v>35</v>
      </c>
      <c r="E120">
        <v>9223</v>
      </c>
      <c r="F120">
        <v>12</v>
      </c>
      <c r="G120">
        <v>4</v>
      </c>
      <c r="H120">
        <v>2</v>
      </c>
      <c r="I120">
        <v>2</v>
      </c>
      <c r="J120">
        <v>1</v>
      </c>
      <c r="K120">
        <v>1543.9672475601963</v>
      </c>
      <c r="L120">
        <v>1566.570948665729</v>
      </c>
      <c r="M120">
        <v>-22.603701105532764</v>
      </c>
    </row>
    <row r="121" spans="1:13">
      <c r="A121" t="s">
        <v>51</v>
      </c>
      <c r="B121" t="s">
        <v>39</v>
      </c>
      <c r="C121" s="2">
        <v>0.33541666666666664</v>
      </c>
      <c r="D121" t="s">
        <v>21</v>
      </c>
      <c r="E121">
        <v>6886</v>
      </c>
      <c r="F121">
        <v>6</v>
      </c>
      <c r="G121">
        <v>8</v>
      </c>
      <c r="H121">
        <v>3</v>
      </c>
      <c r="I121">
        <v>8</v>
      </c>
      <c r="J121">
        <v>3</v>
      </c>
      <c r="K121">
        <v>1531.3073664461449</v>
      </c>
      <c r="L121">
        <v>1427.450553259235</v>
      </c>
      <c r="M121">
        <v>103.8568131869099</v>
      </c>
    </row>
    <row r="122" spans="1:13">
      <c r="A122" t="s">
        <v>39</v>
      </c>
      <c r="B122" t="s">
        <v>28</v>
      </c>
      <c r="C122" s="2">
        <v>8.611111111111111E-2</v>
      </c>
      <c r="D122" t="s">
        <v>21</v>
      </c>
      <c r="E122">
        <v>4092</v>
      </c>
      <c r="F122">
        <v>8</v>
      </c>
      <c r="G122">
        <v>1</v>
      </c>
      <c r="H122">
        <v>0</v>
      </c>
      <c r="I122">
        <v>2</v>
      </c>
      <c r="J122">
        <v>4</v>
      </c>
      <c r="K122">
        <v>1449.5448711567606</v>
      </c>
      <c r="L122">
        <v>1592.0804000033452</v>
      </c>
      <c r="M122">
        <v>-142.53552884658461</v>
      </c>
    </row>
    <row r="123" spans="1:13">
      <c r="A123" t="s">
        <v>52</v>
      </c>
      <c r="B123" t="s">
        <v>33</v>
      </c>
      <c r="C123" s="2">
        <v>4.4444444444444446E-2</v>
      </c>
      <c r="D123" t="s">
        <v>21</v>
      </c>
      <c r="E123">
        <v>14502</v>
      </c>
      <c r="F123">
        <v>9</v>
      </c>
      <c r="G123">
        <v>11</v>
      </c>
      <c r="H123">
        <v>0</v>
      </c>
      <c r="I123">
        <v>1</v>
      </c>
      <c r="J123">
        <v>4</v>
      </c>
      <c r="K123">
        <v>1506.6975622141083</v>
      </c>
      <c r="L123">
        <v>1496.764508007117</v>
      </c>
      <c r="M123">
        <v>9.9330542069913008</v>
      </c>
    </row>
    <row r="124" spans="1:13">
      <c r="A124" t="s">
        <v>47</v>
      </c>
      <c r="B124" t="s">
        <v>19</v>
      </c>
      <c r="C124" s="2">
        <v>0.20902777777777778</v>
      </c>
      <c r="D124" t="s">
        <v>21</v>
      </c>
      <c r="E124">
        <v>6021</v>
      </c>
      <c r="F124">
        <v>7</v>
      </c>
      <c r="G124">
        <v>10</v>
      </c>
      <c r="H124">
        <v>3</v>
      </c>
      <c r="I124">
        <v>5</v>
      </c>
      <c r="J124">
        <v>1</v>
      </c>
      <c r="K124">
        <v>1482.7788498481259</v>
      </c>
      <c r="L124">
        <v>1488.3902602687212</v>
      </c>
      <c r="M124">
        <v>-5.6114104205953481</v>
      </c>
    </row>
    <row r="125" spans="1:13">
      <c r="A125" t="s">
        <v>42</v>
      </c>
      <c r="B125" t="s">
        <v>51</v>
      </c>
      <c r="C125" s="2">
        <v>8.7499999999999994E-2</v>
      </c>
      <c r="D125" t="s">
        <v>21</v>
      </c>
      <c r="E125">
        <v>5225</v>
      </c>
      <c r="F125">
        <v>4</v>
      </c>
      <c r="G125">
        <v>6</v>
      </c>
      <c r="H125">
        <v>0</v>
      </c>
      <c r="I125">
        <v>2</v>
      </c>
      <c r="J125">
        <v>6</v>
      </c>
      <c r="K125">
        <v>1605.0683565702161</v>
      </c>
      <c r="L125">
        <v>1509.2130485486193</v>
      </c>
      <c r="M125">
        <v>95.855308021596784</v>
      </c>
    </row>
    <row r="126" spans="1:13">
      <c r="A126" t="s">
        <v>43</v>
      </c>
      <c r="B126" t="s">
        <v>29</v>
      </c>
      <c r="C126" s="2">
        <v>4.3055555555555555E-2</v>
      </c>
      <c r="D126" t="s">
        <v>63</v>
      </c>
      <c r="E126">
        <v>5406</v>
      </c>
      <c r="F126">
        <v>13</v>
      </c>
      <c r="G126">
        <v>12</v>
      </c>
      <c r="H126">
        <v>1</v>
      </c>
      <c r="I126">
        <v>1</v>
      </c>
      <c r="J126">
        <v>2</v>
      </c>
      <c r="K126">
        <v>1512.6472091415137</v>
      </c>
      <c r="L126">
        <v>1505.4698396557092</v>
      </c>
      <c r="M126">
        <v>7.1773694858045474</v>
      </c>
    </row>
    <row r="127" spans="1:13">
      <c r="A127" t="s">
        <v>46</v>
      </c>
      <c r="B127" t="s">
        <v>32</v>
      </c>
      <c r="C127" s="2">
        <v>4.3055555555555555E-2</v>
      </c>
      <c r="D127" t="s">
        <v>35</v>
      </c>
      <c r="E127">
        <v>11651</v>
      </c>
      <c r="F127">
        <v>5</v>
      </c>
      <c r="G127">
        <v>2</v>
      </c>
      <c r="H127">
        <v>1</v>
      </c>
      <c r="I127">
        <v>1</v>
      </c>
      <c r="J127">
        <v>2</v>
      </c>
      <c r="K127">
        <v>1541.1115200884199</v>
      </c>
      <c r="L127">
        <v>1503.584560293275</v>
      </c>
      <c r="M127">
        <v>37.526959795144876</v>
      </c>
    </row>
    <row r="128" spans="1:13">
      <c r="A128" t="s">
        <v>18</v>
      </c>
      <c r="B128" t="s">
        <v>38</v>
      </c>
      <c r="C128" s="2">
        <v>0.20972222222222223</v>
      </c>
      <c r="D128" t="s">
        <v>21</v>
      </c>
      <c r="E128">
        <v>6227</v>
      </c>
      <c r="F128">
        <v>0</v>
      </c>
      <c r="G128">
        <v>3</v>
      </c>
      <c r="H128">
        <v>3</v>
      </c>
      <c r="I128">
        <v>5</v>
      </c>
      <c r="J128">
        <v>2</v>
      </c>
      <c r="K128">
        <v>1492.8924137569484</v>
      </c>
      <c r="L128">
        <v>1523.7566004471198</v>
      </c>
      <c r="M128">
        <v>-30.864186690171437</v>
      </c>
    </row>
    <row r="129" spans="1:13">
      <c r="A129" t="s">
        <v>28</v>
      </c>
      <c r="B129" t="s">
        <v>43</v>
      </c>
      <c r="C129" s="2">
        <v>0.21041666666666667</v>
      </c>
      <c r="D129" t="s">
        <v>21</v>
      </c>
      <c r="E129">
        <v>6547</v>
      </c>
      <c r="F129">
        <v>1</v>
      </c>
      <c r="G129">
        <v>13</v>
      </c>
      <c r="H129">
        <v>3</v>
      </c>
      <c r="I129">
        <v>5</v>
      </c>
      <c r="J129">
        <v>3</v>
      </c>
      <c r="K129">
        <v>1627.4860319481504</v>
      </c>
      <c r="L129">
        <v>1483.3031540510926</v>
      </c>
      <c r="M129">
        <v>144.18287789705778</v>
      </c>
    </row>
    <row r="130" spans="1:13">
      <c r="A130" t="s">
        <v>32</v>
      </c>
      <c r="B130" t="s">
        <v>52</v>
      </c>
      <c r="C130" s="2">
        <v>4.3055555555555555E-2</v>
      </c>
      <c r="D130" t="s">
        <v>63</v>
      </c>
      <c r="E130">
        <v>9372</v>
      </c>
      <c r="F130">
        <v>2</v>
      </c>
      <c r="G130">
        <v>9</v>
      </c>
      <c r="H130">
        <v>1</v>
      </c>
      <c r="I130">
        <v>1</v>
      </c>
      <c r="J130">
        <v>2</v>
      </c>
      <c r="K130">
        <v>1533.801169724024</v>
      </c>
      <c r="L130">
        <v>1467.274493954551</v>
      </c>
      <c r="M130">
        <v>66.526675769473059</v>
      </c>
    </row>
    <row r="131" spans="1:13">
      <c r="A131" t="s">
        <v>38</v>
      </c>
      <c r="B131" t="s">
        <v>47</v>
      </c>
      <c r="C131" s="2">
        <v>0.25</v>
      </c>
      <c r="D131" t="s">
        <v>21</v>
      </c>
      <c r="E131">
        <v>6704</v>
      </c>
      <c r="F131">
        <v>3</v>
      </c>
      <c r="G131">
        <v>7</v>
      </c>
      <c r="H131">
        <v>3</v>
      </c>
      <c r="I131">
        <v>6</v>
      </c>
      <c r="J131">
        <v>0</v>
      </c>
      <c r="K131">
        <v>1542.0224911940904</v>
      </c>
      <c r="L131">
        <v>1463.8002542402967</v>
      </c>
      <c r="M131">
        <v>78.222236953793754</v>
      </c>
    </row>
    <row r="132" spans="1:13">
      <c r="A132" t="s">
        <v>19</v>
      </c>
      <c r="B132" t="s">
        <v>46</v>
      </c>
      <c r="C132" s="2">
        <v>4.4444444444444446E-2</v>
      </c>
      <c r="D132" t="s">
        <v>21</v>
      </c>
      <c r="E132">
        <v>7453</v>
      </c>
      <c r="F132">
        <v>10</v>
      </c>
      <c r="G132">
        <v>5</v>
      </c>
      <c r="H132">
        <v>0</v>
      </c>
      <c r="I132">
        <v>1</v>
      </c>
      <c r="J132">
        <v>4</v>
      </c>
      <c r="K132">
        <v>1507.3688558765505</v>
      </c>
      <c r="L132">
        <v>1510.8949106576708</v>
      </c>
      <c r="M132">
        <v>-3.5260547811203651</v>
      </c>
    </row>
    <row r="133" spans="1:13">
      <c r="A133" t="s">
        <v>33</v>
      </c>
      <c r="B133" t="s">
        <v>42</v>
      </c>
      <c r="C133" s="2">
        <v>0.125</v>
      </c>
      <c r="D133" t="s">
        <v>21</v>
      </c>
      <c r="E133">
        <v>5495</v>
      </c>
      <c r="F133">
        <v>11</v>
      </c>
      <c r="G133">
        <v>4</v>
      </c>
      <c r="H133">
        <v>3</v>
      </c>
      <c r="I133">
        <v>3</v>
      </c>
      <c r="J133">
        <v>0</v>
      </c>
      <c r="K133">
        <v>1536.1875762666743</v>
      </c>
      <c r="L133">
        <v>1563.1952670092703</v>
      </c>
      <c r="M133">
        <v>-27.007690742595969</v>
      </c>
    </row>
    <row r="134" spans="1:13">
      <c r="A134" t="s">
        <v>29</v>
      </c>
      <c r="B134" t="s">
        <v>18</v>
      </c>
      <c r="C134" s="2">
        <v>0.20902777777777778</v>
      </c>
      <c r="D134" t="s">
        <v>21</v>
      </c>
      <c r="E134">
        <v>9600</v>
      </c>
      <c r="F134">
        <v>12</v>
      </c>
      <c r="G134">
        <v>0</v>
      </c>
      <c r="H134">
        <v>3</v>
      </c>
      <c r="I134">
        <v>5</v>
      </c>
      <c r="J134">
        <v>1</v>
      </c>
      <c r="K134">
        <v>1534.8138947461302</v>
      </c>
      <c r="L134">
        <v>1474.6265230099777</v>
      </c>
      <c r="M134">
        <v>60.1873717361525</v>
      </c>
    </row>
    <row r="135" spans="1:13">
      <c r="A135" t="s">
        <v>18</v>
      </c>
      <c r="B135" t="s">
        <v>33</v>
      </c>
      <c r="C135" s="2">
        <v>8.6805555555555552E-2</v>
      </c>
      <c r="D135" t="s">
        <v>21</v>
      </c>
      <c r="E135">
        <v>6775</v>
      </c>
      <c r="F135">
        <v>0</v>
      </c>
      <c r="G135">
        <v>11</v>
      </c>
      <c r="H135">
        <v>0</v>
      </c>
      <c r="I135">
        <v>2</v>
      </c>
      <c r="J135">
        <v>5</v>
      </c>
      <c r="K135">
        <v>1495.4932055833222</v>
      </c>
      <c r="L135">
        <v>1517.8138213380155</v>
      </c>
      <c r="M135">
        <v>-22.320615754693335</v>
      </c>
    </row>
    <row r="136" spans="1:13">
      <c r="A136" t="s">
        <v>52</v>
      </c>
      <c r="B136" t="s">
        <v>39</v>
      </c>
      <c r="C136" s="2">
        <v>0.1701388888888889</v>
      </c>
      <c r="D136" t="s">
        <v>21</v>
      </c>
      <c r="E136">
        <v>13468</v>
      </c>
      <c r="F136">
        <v>9</v>
      </c>
      <c r="G136">
        <v>8</v>
      </c>
      <c r="H136">
        <v>0</v>
      </c>
      <c r="I136">
        <v>4</v>
      </c>
      <c r="J136">
        <v>5</v>
      </c>
      <c r="K136">
        <v>1498.3219598957778</v>
      </c>
      <c r="L136">
        <v>1414.1392392119553</v>
      </c>
      <c r="M136">
        <v>84.182720683822481</v>
      </c>
    </row>
    <row r="137" spans="1:13">
      <c r="A137" t="s">
        <v>47</v>
      </c>
      <c r="B137" t="s">
        <v>29</v>
      </c>
      <c r="C137" s="2">
        <v>0.25069444444444444</v>
      </c>
      <c r="D137" t="s">
        <v>21</v>
      </c>
      <c r="E137">
        <v>5627</v>
      </c>
      <c r="F137">
        <v>7</v>
      </c>
      <c r="G137">
        <v>12</v>
      </c>
      <c r="H137">
        <v>3</v>
      </c>
      <c r="I137">
        <v>6</v>
      </c>
      <c r="J137">
        <v>1</v>
      </c>
      <c r="K137">
        <v>1485.1793574678459</v>
      </c>
      <c r="L137">
        <v>1513.9472121727858</v>
      </c>
      <c r="M137">
        <v>-28.767854704939964</v>
      </c>
    </row>
    <row r="138" spans="1:13">
      <c r="A138" t="s">
        <v>38</v>
      </c>
      <c r="B138" t="s">
        <v>28</v>
      </c>
      <c r="C138" s="2">
        <v>0.29166666666666669</v>
      </c>
      <c r="D138" t="s">
        <v>21</v>
      </c>
      <c r="E138">
        <v>6171</v>
      </c>
      <c r="F138">
        <v>3</v>
      </c>
      <c r="G138">
        <v>1</v>
      </c>
      <c r="H138">
        <v>3</v>
      </c>
      <c r="I138">
        <v>7</v>
      </c>
      <c r="J138">
        <v>0</v>
      </c>
      <c r="K138">
        <v>1550.6433879665412</v>
      </c>
      <c r="L138">
        <v>1604.3130070392785</v>
      </c>
      <c r="M138">
        <v>-53.669619072737305</v>
      </c>
    </row>
    <row r="139" spans="1:13">
      <c r="A139" t="s">
        <v>19</v>
      </c>
      <c r="B139" t="s">
        <v>32</v>
      </c>
      <c r="C139" s="2">
        <v>0.16805555555555557</v>
      </c>
      <c r="D139" t="s">
        <v>21</v>
      </c>
      <c r="E139">
        <v>4081</v>
      </c>
      <c r="F139">
        <v>10</v>
      </c>
      <c r="G139">
        <v>2</v>
      </c>
      <c r="H139">
        <v>3</v>
      </c>
      <c r="I139">
        <v>4</v>
      </c>
      <c r="J139">
        <v>2</v>
      </c>
      <c r="K139">
        <v>1498.3308293705329</v>
      </c>
      <c r="L139">
        <v>1502.7537037827972</v>
      </c>
      <c r="M139">
        <v>-4.4228744122642638</v>
      </c>
    </row>
    <row r="140" spans="1:13">
      <c r="A140" t="s">
        <v>43</v>
      </c>
      <c r="B140" t="s">
        <v>51</v>
      </c>
      <c r="C140" s="2">
        <v>0.16805555555555557</v>
      </c>
      <c r="D140" t="s">
        <v>21</v>
      </c>
      <c r="E140">
        <v>5103</v>
      </c>
      <c r="F140">
        <v>13</v>
      </c>
      <c r="G140">
        <v>6</v>
      </c>
      <c r="H140">
        <v>3</v>
      </c>
      <c r="I140">
        <v>4</v>
      </c>
      <c r="J140">
        <v>2</v>
      </c>
      <c r="K140">
        <v>1506.4761789599645</v>
      </c>
      <c r="L140">
        <v>1521.0861381095651</v>
      </c>
      <c r="M140">
        <v>-14.609959149600627</v>
      </c>
    </row>
    <row r="141" spans="1:13">
      <c r="A141" t="s">
        <v>46</v>
      </c>
      <c r="B141" t="s">
        <v>42</v>
      </c>
      <c r="C141" s="2">
        <v>0.29166666666666669</v>
      </c>
      <c r="D141" t="s">
        <v>21</v>
      </c>
      <c r="E141">
        <v>10949</v>
      </c>
      <c r="F141">
        <v>5</v>
      </c>
      <c r="G141">
        <v>4</v>
      </c>
      <c r="H141">
        <v>3</v>
      </c>
      <c r="I141">
        <v>7</v>
      </c>
      <c r="J141">
        <v>0</v>
      </c>
      <c r="K141">
        <v>1549.9329371636884</v>
      </c>
      <c r="L141">
        <v>1551.5690219379292</v>
      </c>
      <c r="M141">
        <v>-1.6360847742407714</v>
      </c>
    </row>
    <row r="142" spans="1:13">
      <c r="A142" t="s">
        <v>29</v>
      </c>
      <c r="B142" t="s">
        <v>28</v>
      </c>
      <c r="C142" s="2">
        <v>0.12638888888888888</v>
      </c>
      <c r="D142" t="s">
        <v>21</v>
      </c>
      <c r="E142">
        <v>9600</v>
      </c>
      <c r="F142">
        <v>12</v>
      </c>
      <c r="G142">
        <v>1</v>
      </c>
      <c r="H142">
        <v>3</v>
      </c>
      <c r="I142">
        <v>3</v>
      </c>
      <c r="J142">
        <v>2</v>
      </c>
      <c r="K142">
        <v>1532.2716863667288</v>
      </c>
      <c r="L142">
        <v>1591.9503008698728</v>
      </c>
      <c r="M142">
        <v>-59.67861450314399</v>
      </c>
    </row>
    <row r="143" spans="1:13">
      <c r="A143" t="s">
        <v>38</v>
      </c>
      <c r="B143" t="s">
        <v>51</v>
      </c>
      <c r="C143" s="2">
        <v>6.9444444444444447E-4</v>
      </c>
      <c r="D143" t="s">
        <v>21</v>
      </c>
      <c r="E143">
        <v>5583</v>
      </c>
      <c r="F143">
        <v>3</v>
      </c>
      <c r="G143">
        <v>6</v>
      </c>
      <c r="H143">
        <v>0</v>
      </c>
      <c r="I143">
        <v>0</v>
      </c>
      <c r="J143">
        <v>1</v>
      </c>
      <c r="K143">
        <v>1563.006094135947</v>
      </c>
      <c r="L143">
        <v>1509.8091699342838</v>
      </c>
      <c r="M143">
        <v>53.196924201663251</v>
      </c>
    </row>
    <row r="144" spans="1:13">
      <c r="A144" t="s">
        <v>39</v>
      </c>
      <c r="B144" t="s">
        <v>18</v>
      </c>
      <c r="C144" s="2">
        <v>0.1701388888888889</v>
      </c>
      <c r="D144" t="s">
        <v>21</v>
      </c>
      <c r="E144">
        <v>4547</v>
      </c>
      <c r="F144">
        <v>8</v>
      </c>
      <c r="G144">
        <v>0</v>
      </c>
      <c r="H144">
        <v>0</v>
      </c>
      <c r="I144">
        <v>4</v>
      </c>
      <c r="J144">
        <v>5</v>
      </c>
      <c r="K144">
        <v>1455.6862224105921</v>
      </c>
      <c r="L144">
        <v>1456.9878328149098</v>
      </c>
      <c r="M144">
        <v>-1.3016104043176711</v>
      </c>
    </row>
    <row r="145" spans="1:13">
      <c r="A145" t="s">
        <v>47</v>
      </c>
      <c r="B145" t="s">
        <v>52</v>
      </c>
      <c r="C145" s="2">
        <v>0.21249999999999999</v>
      </c>
      <c r="D145" t="s">
        <v>63</v>
      </c>
      <c r="E145">
        <v>6556</v>
      </c>
      <c r="F145">
        <v>7</v>
      </c>
      <c r="G145">
        <v>9</v>
      </c>
      <c r="H145">
        <v>1</v>
      </c>
      <c r="I145">
        <v>5</v>
      </c>
      <c r="J145">
        <v>6</v>
      </c>
      <c r="K145">
        <v>1496.8548832739029</v>
      </c>
      <c r="L145">
        <v>1456.774976697141</v>
      </c>
      <c r="M145">
        <v>40.079906576761914</v>
      </c>
    </row>
    <row r="146" spans="1:13">
      <c r="A146" t="s">
        <v>42</v>
      </c>
      <c r="B146" t="s">
        <v>32</v>
      </c>
      <c r="C146" s="2">
        <v>6.9444444444444447E-4</v>
      </c>
      <c r="D146" t="s">
        <v>63</v>
      </c>
      <c r="E146">
        <v>4982</v>
      </c>
      <c r="F146">
        <v>4</v>
      </c>
      <c r="G146">
        <v>2</v>
      </c>
      <c r="H146">
        <v>1</v>
      </c>
      <c r="I146">
        <v>0</v>
      </c>
      <c r="J146">
        <v>1</v>
      </c>
      <c r="K146">
        <v>1570.6609704459577</v>
      </c>
      <c r="L146">
        <v>1491.7661630177565</v>
      </c>
      <c r="M146">
        <v>78.894807428201148</v>
      </c>
    </row>
    <row r="147" spans="1:13">
      <c r="A147" t="s">
        <v>46</v>
      </c>
      <c r="B147" t="s">
        <v>43</v>
      </c>
      <c r="C147" s="2">
        <v>0.16805555555555557</v>
      </c>
      <c r="D147" t="s">
        <v>21</v>
      </c>
      <c r="E147">
        <v>10673</v>
      </c>
      <c r="F147">
        <v>5</v>
      </c>
      <c r="G147">
        <v>13</v>
      </c>
      <c r="H147">
        <v>3</v>
      </c>
      <c r="I147">
        <v>4</v>
      </c>
      <c r="J147">
        <v>2</v>
      </c>
      <c r="K147">
        <v>1560.8409886556599</v>
      </c>
      <c r="L147">
        <v>1487.7531471352459</v>
      </c>
      <c r="M147">
        <v>73.087841520414031</v>
      </c>
    </row>
    <row r="148" spans="1:13">
      <c r="A148" t="s">
        <v>33</v>
      </c>
      <c r="B148" t="s">
        <v>38</v>
      </c>
      <c r="C148" s="2">
        <v>0.25138888888888888</v>
      </c>
      <c r="D148" t="s">
        <v>21</v>
      </c>
      <c r="E148">
        <v>5300</v>
      </c>
      <c r="F148">
        <v>11</v>
      </c>
      <c r="G148">
        <v>3</v>
      </c>
      <c r="H148">
        <v>3</v>
      </c>
      <c r="I148">
        <v>6</v>
      </c>
      <c r="J148">
        <v>2</v>
      </c>
      <c r="K148">
        <v>1556.3191941064279</v>
      </c>
      <c r="L148">
        <v>1522.3394233026283</v>
      </c>
      <c r="M148">
        <v>33.979770803799511</v>
      </c>
    </row>
    <row r="149" spans="1:13">
      <c r="A149" t="s">
        <v>18</v>
      </c>
      <c r="B149" t="s">
        <v>47</v>
      </c>
      <c r="C149" s="2">
        <v>0.12569444444444444</v>
      </c>
      <c r="D149" t="s">
        <v>21</v>
      </c>
      <c r="E149">
        <v>6512</v>
      </c>
      <c r="F149">
        <v>0</v>
      </c>
      <c r="G149">
        <v>7</v>
      </c>
      <c r="H149">
        <v>3</v>
      </c>
      <c r="I149">
        <v>3</v>
      </c>
      <c r="J149">
        <v>1</v>
      </c>
      <c r="K149">
        <v>1496.0893297212056</v>
      </c>
      <c r="L149">
        <v>1466.5648416139068</v>
      </c>
      <c r="M149">
        <v>29.524488107298794</v>
      </c>
    </row>
    <row r="150" spans="1:13">
      <c r="A150" t="s">
        <v>52</v>
      </c>
      <c r="B150" t="s">
        <v>46</v>
      </c>
      <c r="C150" s="2">
        <v>2.0833333333333333E-3</v>
      </c>
      <c r="D150" t="s">
        <v>21</v>
      </c>
      <c r="E150">
        <v>15645</v>
      </c>
      <c r="F150">
        <v>9</v>
      </c>
      <c r="G150">
        <v>5</v>
      </c>
      <c r="H150">
        <v>0</v>
      </c>
      <c r="I150">
        <v>0</v>
      </c>
      <c r="J150">
        <v>3</v>
      </c>
      <c r="K150">
        <v>1487.0650183571372</v>
      </c>
      <c r="L150">
        <v>1539.6071400065002</v>
      </c>
      <c r="M150">
        <v>-52.542121649363025</v>
      </c>
    </row>
    <row r="151" spans="1:13">
      <c r="A151" t="s">
        <v>28</v>
      </c>
      <c r="B151" t="s">
        <v>42</v>
      </c>
      <c r="C151" s="2">
        <v>0.25069444444444444</v>
      </c>
      <c r="D151" t="s">
        <v>21</v>
      </c>
      <c r="E151">
        <v>6547</v>
      </c>
      <c r="F151">
        <v>1</v>
      </c>
      <c r="G151">
        <v>4</v>
      </c>
      <c r="H151">
        <v>3</v>
      </c>
      <c r="I151">
        <v>6</v>
      </c>
      <c r="J151">
        <v>1</v>
      </c>
      <c r="K151">
        <v>1609.4249775194078</v>
      </c>
      <c r="L151">
        <v>1539.2628823534669</v>
      </c>
      <c r="M151">
        <v>70.162095165940855</v>
      </c>
    </row>
    <row r="152" spans="1:13">
      <c r="A152" t="s">
        <v>19</v>
      </c>
      <c r="B152" t="s">
        <v>29</v>
      </c>
      <c r="C152" s="2">
        <v>8.4027777777777785E-2</v>
      </c>
      <c r="D152" t="s">
        <v>21</v>
      </c>
      <c r="E152">
        <v>4481</v>
      </c>
      <c r="F152">
        <v>10</v>
      </c>
      <c r="G152">
        <v>12</v>
      </c>
      <c r="H152">
        <v>3</v>
      </c>
      <c r="I152">
        <v>2</v>
      </c>
      <c r="J152">
        <v>1</v>
      </c>
      <c r="K152">
        <v>1509.3183701355736</v>
      </c>
      <c r="L152">
        <v>1514.7970097171938</v>
      </c>
      <c r="M152">
        <v>-5.4786395816202003</v>
      </c>
    </row>
    <row r="153" spans="1:13">
      <c r="A153" t="s">
        <v>32</v>
      </c>
      <c r="B153" t="s">
        <v>39</v>
      </c>
      <c r="C153" s="2">
        <v>0.20902777777777778</v>
      </c>
      <c r="D153" t="s">
        <v>21</v>
      </c>
      <c r="E153">
        <v>9372</v>
      </c>
      <c r="F153">
        <v>2</v>
      </c>
      <c r="G153">
        <v>8</v>
      </c>
      <c r="H153">
        <v>3</v>
      </c>
      <c r="I153">
        <v>5</v>
      </c>
      <c r="J153">
        <v>1</v>
      </c>
      <c r="K153">
        <v>1523.1642511102473</v>
      </c>
      <c r="L153">
        <v>1416.5847255042963</v>
      </c>
      <c r="M153">
        <v>106.57952560595095</v>
      </c>
    </row>
    <row r="154" spans="1:13">
      <c r="A154" t="s">
        <v>43</v>
      </c>
      <c r="B154" t="s">
        <v>33</v>
      </c>
      <c r="C154" s="2">
        <v>0.125</v>
      </c>
      <c r="D154" t="s">
        <v>21</v>
      </c>
      <c r="E154">
        <v>5234</v>
      </c>
      <c r="F154">
        <v>13</v>
      </c>
      <c r="G154">
        <v>11</v>
      </c>
      <c r="H154">
        <v>3</v>
      </c>
      <c r="I154">
        <v>3</v>
      </c>
      <c r="J154">
        <v>0</v>
      </c>
      <c r="K154">
        <v>1508.9869957844055</v>
      </c>
      <c r="L154">
        <v>1536.2046521044967</v>
      </c>
      <c r="M154">
        <v>-27.217656320091237</v>
      </c>
    </row>
    <row r="155" spans="1:13">
      <c r="A155" t="s">
        <v>38</v>
      </c>
      <c r="B155" t="s">
        <v>43</v>
      </c>
      <c r="C155" s="2">
        <v>0.12569444444444444</v>
      </c>
      <c r="D155" t="s">
        <v>21</v>
      </c>
      <c r="E155">
        <v>5841</v>
      </c>
      <c r="F155">
        <v>3</v>
      </c>
      <c r="G155">
        <v>13</v>
      </c>
      <c r="H155">
        <v>3</v>
      </c>
      <c r="I155">
        <v>3</v>
      </c>
      <c r="J155">
        <v>1</v>
      </c>
      <c r="K155">
        <v>1542.4539653045595</v>
      </c>
      <c r="L155">
        <v>1490.619123746581</v>
      </c>
      <c r="M155">
        <v>51.834841557978507</v>
      </c>
    </row>
    <row r="156" spans="1:13">
      <c r="A156" t="s">
        <v>52</v>
      </c>
      <c r="B156" t="s">
        <v>42</v>
      </c>
      <c r="C156" s="2">
        <v>0.20972222222222223</v>
      </c>
      <c r="D156" t="s">
        <v>21</v>
      </c>
      <c r="E156">
        <v>14975</v>
      </c>
      <c r="F156">
        <v>9</v>
      </c>
      <c r="G156">
        <v>4</v>
      </c>
      <c r="H156">
        <v>3</v>
      </c>
      <c r="I156">
        <v>5</v>
      </c>
      <c r="J156">
        <v>2</v>
      </c>
      <c r="K156">
        <v>1479.3970607316162</v>
      </c>
      <c r="L156">
        <v>1530.4137189587843</v>
      </c>
      <c r="M156">
        <v>-51.016658227168136</v>
      </c>
    </row>
    <row r="157" spans="1:13">
      <c r="A157" t="s">
        <v>47</v>
      </c>
      <c r="B157" t="s">
        <v>46</v>
      </c>
      <c r="C157" s="2">
        <v>1.3888888888888889E-3</v>
      </c>
      <c r="D157" t="s">
        <v>21</v>
      </c>
      <c r="E157">
        <v>6239</v>
      </c>
      <c r="F157">
        <v>7</v>
      </c>
      <c r="G157">
        <v>5</v>
      </c>
      <c r="H157">
        <v>0</v>
      </c>
      <c r="I157">
        <v>0</v>
      </c>
      <c r="J157">
        <v>2</v>
      </c>
      <c r="K157">
        <v>1486.5511552900064</v>
      </c>
      <c r="L157">
        <v>1547.2750976320212</v>
      </c>
      <c r="M157">
        <v>-60.72394234201488</v>
      </c>
    </row>
    <row r="158" spans="1:13">
      <c r="A158" t="s">
        <v>32</v>
      </c>
      <c r="B158" t="s">
        <v>28</v>
      </c>
      <c r="C158" s="2">
        <v>0.21041666666666667</v>
      </c>
      <c r="D158" t="s">
        <v>21</v>
      </c>
      <c r="E158">
        <v>9372</v>
      </c>
      <c r="F158">
        <v>2</v>
      </c>
      <c r="G158">
        <v>1</v>
      </c>
      <c r="H158">
        <v>3</v>
      </c>
      <c r="I158">
        <v>5</v>
      </c>
      <c r="J158">
        <v>3</v>
      </c>
      <c r="K158">
        <v>1530.9951288149196</v>
      </c>
      <c r="L158">
        <v>1588.2741409140904</v>
      </c>
      <c r="M158">
        <v>-57.279012099170814</v>
      </c>
    </row>
    <row r="159" spans="1:13">
      <c r="A159" t="s">
        <v>19</v>
      </c>
      <c r="B159" t="s">
        <v>33</v>
      </c>
      <c r="C159" s="2">
        <v>4.3055555555555555E-2</v>
      </c>
      <c r="D159" t="s">
        <v>21</v>
      </c>
      <c r="E159">
        <v>4601</v>
      </c>
      <c r="F159">
        <v>10</v>
      </c>
      <c r="G159">
        <v>11</v>
      </c>
      <c r="H159">
        <v>0</v>
      </c>
      <c r="I159">
        <v>1</v>
      </c>
      <c r="J159">
        <v>2</v>
      </c>
      <c r="K159">
        <v>1520.3359927963297</v>
      </c>
      <c r="L159">
        <v>1524.5725241423213</v>
      </c>
      <c r="M159">
        <v>-4.2365313459915797</v>
      </c>
    </row>
    <row r="160" spans="1:13">
      <c r="A160" t="s">
        <v>29</v>
      </c>
      <c r="B160" t="s">
        <v>39</v>
      </c>
      <c r="C160" s="2">
        <v>0.12638888888888888</v>
      </c>
      <c r="D160" t="s">
        <v>35</v>
      </c>
      <c r="E160">
        <v>9600</v>
      </c>
      <c r="F160">
        <v>12</v>
      </c>
      <c r="G160">
        <v>8</v>
      </c>
      <c r="H160">
        <v>2</v>
      </c>
      <c r="I160">
        <v>3</v>
      </c>
      <c r="J160">
        <v>2</v>
      </c>
      <c r="K160">
        <v>1533.7793870564376</v>
      </c>
      <c r="L160">
        <v>1408.7538477996241</v>
      </c>
      <c r="M160">
        <v>125.02553925681354</v>
      </c>
    </row>
    <row r="161" spans="1:13">
      <c r="A161" t="s">
        <v>51</v>
      </c>
      <c r="B161" t="s">
        <v>18</v>
      </c>
      <c r="C161" s="2">
        <v>0.16805555555555557</v>
      </c>
      <c r="D161" t="s">
        <v>21</v>
      </c>
      <c r="E161">
        <v>7450</v>
      </c>
      <c r="F161">
        <v>6</v>
      </c>
      <c r="G161">
        <v>0</v>
      </c>
      <c r="H161">
        <v>3</v>
      </c>
      <c r="I161">
        <v>4</v>
      </c>
      <c r="J161">
        <v>2</v>
      </c>
      <c r="K161">
        <v>1550.4758407676024</v>
      </c>
      <c r="L161">
        <v>1476.103016045106</v>
      </c>
      <c r="M161">
        <v>74.372824722496489</v>
      </c>
    </row>
    <row r="162" spans="1:13">
      <c r="A162" t="s">
        <v>39</v>
      </c>
      <c r="B162" t="s">
        <v>38</v>
      </c>
      <c r="C162" s="2">
        <v>8.3333333333333329E-2</v>
      </c>
      <c r="D162" t="s">
        <v>21</v>
      </c>
      <c r="E162">
        <v>4324</v>
      </c>
      <c r="F162">
        <v>8</v>
      </c>
      <c r="G162">
        <v>3</v>
      </c>
      <c r="H162">
        <v>3</v>
      </c>
      <c r="I162">
        <v>2</v>
      </c>
      <c r="J162">
        <v>0</v>
      </c>
      <c r="K162">
        <v>1451.4226845359526</v>
      </c>
      <c r="L162">
        <v>1521.8263341228696</v>
      </c>
      <c r="M162">
        <v>-70.403649586917027</v>
      </c>
    </row>
    <row r="163" spans="1:13">
      <c r="A163" t="s">
        <v>18</v>
      </c>
      <c r="B163" t="s">
        <v>32</v>
      </c>
      <c r="C163" s="2">
        <v>0.16805555555555557</v>
      </c>
      <c r="D163" t="s">
        <v>21</v>
      </c>
      <c r="E163">
        <v>6775</v>
      </c>
      <c r="F163">
        <v>0</v>
      </c>
      <c r="G163">
        <v>2</v>
      </c>
      <c r="H163">
        <v>3</v>
      </c>
      <c r="I163">
        <v>4</v>
      </c>
      <c r="J163">
        <v>2</v>
      </c>
      <c r="K163">
        <v>1497.3732696549814</v>
      </c>
      <c r="L163">
        <v>1513.4556786359628</v>
      </c>
      <c r="M163">
        <v>-16.082408980981427</v>
      </c>
    </row>
    <row r="164" spans="1:13">
      <c r="A164" t="s">
        <v>33</v>
      </c>
      <c r="B164" t="s">
        <v>47</v>
      </c>
      <c r="C164" s="2">
        <v>0.25</v>
      </c>
      <c r="D164" t="s">
        <v>21</v>
      </c>
      <c r="E164">
        <v>5507</v>
      </c>
      <c r="F164">
        <v>11</v>
      </c>
      <c r="G164">
        <v>7</v>
      </c>
      <c r="H164">
        <v>3</v>
      </c>
      <c r="I164">
        <v>6</v>
      </c>
      <c r="J164">
        <v>0</v>
      </c>
      <c r="K164">
        <v>1563.5902947369748</v>
      </c>
      <c r="L164">
        <v>1449.1046254009</v>
      </c>
      <c r="M164">
        <v>114.48566933607481</v>
      </c>
    </row>
    <row r="165" spans="1:13">
      <c r="A165" t="s">
        <v>42</v>
      </c>
      <c r="B165" t="s">
        <v>19</v>
      </c>
      <c r="C165" s="2">
        <v>0.12638888888888888</v>
      </c>
      <c r="D165" t="s">
        <v>35</v>
      </c>
      <c r="E165">
        <v>5352</v>
      </c>
      <c r="F165">
        <v>4</v>
      </c>
      <c r="G165">
        <v>10</v>
      </c>
      <c r="H165">
        <v>2</v>
      </c>
      <c r="I165">
        <v>3</v>
      </c>
      <c r="J165">
        <v>2</v>
      </c>
      <c r="K165">
        <v>1548.1232374253636</v>
      </c>
      <c r="L165">
        <v>1481.3182222016762</v>
      </c>
      <c r="M165">
        <v>66.805015223687406</v>
      </c>
    </row>
    <row r="166" spans="1:13">
      <c r="A166" t="s">
        <v>43</v>
      </c>
      <c r="B166" t="s">
        <v>52</v>
      </c>
      <c r="C166" s="2">
        <v>0.12777777777777777</v>
      </c>
      <c r="D166" t="s">
        <v>35</v>
      </c>
      <c r="E166">
        <v>6000</v>
      </c>
      <c r="F166">
        <v>13</v>
      </c>
      <c r="G166">
        <v>9</v>
      </c>
      <c r="H166">
        <v>1</v>
      </c>
      <c r="I166">
        <v>3</v>
      </c>
      <c r="J166">
        <v>4</v>
      </c>
      <c r="K166">
        <v>1511.2467549282708</v>
      </c>
      <c r="L166">
        <v>1461.6875422650369</v>
      </c>
      <c r="M166">
        <v>49.559212663233893</v>
      </c>
    </row>
    <row r="167" spans="1:13">
      <c r="A167" t="s">
        <v>28</v>
      </c>
      <c r="B167" t="s">
        <v>51</v>
      </c>
      <c r="C167" s="2">
        <v>0.20902777777777778</v>
      </c>
      <c r="D167" t="s">
        <v>21</v>
      </c>
      <c r="E167">
        <v>6547</v>
      </c>
      <c r="F167">
        <v>1</v>
      </c>
      <c r="G167">
        <v>6</v>
      </c>
      <c r="H167">
        <v>3</v>
      </c>
      <c r="I167">
        <v>5</v>
      </c>
      <c r="J167">
        <v>1</v>
      </c>
      <c r="K167">
        <v>1605.8135910930471</v>
      </c>
      <c r="L167">
        <v>1529.205587157727</v>
      </c>
      <c r="M167">
        <v>76.608003935320085</v>
      </c>
    </row>
    <row r="168" spans="1:13">
      <c r="A168" t="s">
        <v>46</v>
      </c>
      <c r="B168" t="s">
        <v>29</v>
      </c>
      <c r="C168" s="2">
        <v>4.3055555555555555E-2</v>
      </c>
      <c r="D168" t="s">
        <v>63</v>
      </c>
      <c r="E168">
        <v>12000</v>
      </c>
      <c r="F168">
        <v>5</v>
      </c>
      <c r="G168">
        <v>12</v>
      </c>
      <c r="H168">
        <v>1</v>
      </c>
      <c r="I168">
        <v>1</v>
      </c>
      <c r="J168">
        <v>2</v>
      </c>
      <c r="K168">
        <v>1584.7216275211276</v>
      </c>
      <c r="L168">
        <v>1491.110550320109</v>
      </c>
      <c r="M168">
        <v>93.611077201018588</v>
      </c>
    </row>
    <row r="169" spans="1:13">
      <c r="A169" t="s">
        <v>39</v>
      </c>
      <c r="B169" t="s">
        <v>47</v>
      </c>
      <c r="C169" s="2">
        <v>0.12777777777777777</v>
      </c>
      <c r="D169" t="s">
        <v>35</v>
      </c>
      <c r="E169">
        <v>4178</v>
      </c>
      <c r="F169">
        <v>8</v>
      </c>
      <c r="G169">
        <v>7</v>
      </c>
      <c r="H169">
        <v>1</v>
      </c>
      <c r="I169">
        <v>3</v>
      </c>
      <c r="J169">
        <v>4</v>
      </c>
      <c r="K169">
        <v>1464.2346873181957</v>
      </c>
      <c r="L169">
        <v>1441.4894958649879</v>
      </c>
      <c r="M169">
        <v>22.745191453207781</v>
      </c>
    </row>
    <row r="170" spans="1:13">
      <c r="A170" t="s">
        <v>33</v>
      </c>
      <c r="B170" t="s">
        <v>32</v>
      </c>
      <c r="C170" s="2">
        <v>2.7777777777777779E-3</v>
      </c>
      <c r="D170" t="s">
        <v>21</v>
      </c>
      <c r="E170">
        <v>5512</v>
      </c>
      <c r="F170">
        <v>11</v>
      </c>
      <c r="G170">
        <v>2</v>
      </c>
      <c r="H170">
        <v>0</v>
      </c>
      <c r="I170">
        <v>0</v>
      </c>
      <c r="J170">
        <v>4</v>
      </c>
      <c r="K170">
        <v>1571.2054242728868</v>
      </c>
      <c r="L170">
        <v>1502.1370438234956</v>
      </c>
      <c r="M170">
        <v>69.06838044939127</v>
      </c>
    </row>
    <row r="171" spans="1:13">
      <c r="A171" t="s">
        <v>28</v>
      </c>
      <c r="B171" t="s">
        <v>18</v>
      </c>
      <c r="C171" s="2">
        <v>0.17083333333333334</v>
      </c>
      <c r="D171" t="s">
        <v>21</v>
      </c>
      <c r="E171">
        <v>4505</v>
      </c>
      <c r="F171">
        <v>1</v>
      </c>
      <c r="G171">
        <v>0</v>
      </c>
      <c r="H171">
        <v>0</v>
      </c>
      <c r="I171">
        <v>4</v>
      </c>
      <c r="J171">
        <v>6</v>
      </c>
      <c r="K171">
        <v>1614.4800944602559</v>
      </c>
      <c r="L171">
        <v>1478.6919044674487</v>
      </c>
      <c r="M171">
        <v>135.78818999280725</v>
      </c>
    </row>
    <row r="172" spans="1:13">
      <c r="A172" t="s">
        <v>47</v>
      </c>
      <c r="B172" t="s">
        <v>43</v>
      </c>
      <c r="C172" s="2">
        <v>0.25347222222222221</v>
      </c>
      <c r="D172" t="s">
        <v>21</v>
      </c>
      <c r="E172">
        <v>6436</v>
      </c>
      <c r="F172">
        <v>7</v>
      </c>
      <c r="G172">
        <v>13</v>
      </c>
      <c r="H172">
        <v>3</v>
      </c>
      <c r="I172">
        <v>6</v>
      </c>
      <c r="J172">
        <v>5</v>
      </c>
      <c r="K172">
        <v>1471.2807160327959</v>
      </c>
      <c r="L172">
        <v>1480.6843894979124</v>
      </c>
      <c r="M172">
        <v>-9.4036734651165261</v>
      </c>
    </row>
    <row r="173" spans="1:13">
      <c r="A173" t="s">
        <v>32</v>
      </c>
      <c r="B173" t="s">
        <v>29</v>
      </c>
      <c r="C173" s="2">
        <v>8.4027777777777785E-2</v>
      </c>
      <c r="D173" t="s">
        <v>21</v>
      </c>
      <c r="E173">
        <v>9372</v>
      </c>
      <c r="F173">
        <v>2</v>
      </c>
      <c r="G173">
        <v>12</v>
      </c>
      <c r="H173">
        <v>3</v>
      </c>
      <c r="I173">
        <v>2</v>
      </c>
      <c r="J173">
        <v>1</v>
      </c>
      <c r="K173">
        <v>1543.2568065581988</v>
      </c>
      <c r="L173">
        <v>1492.9212373553385</v>
      </c>
      <c r="M173">
        <v>50.33556920286037</v>
      </c>
    </row>
    <row r="174" spans="1:13">
      <c r="A174" t="s">
        <v>19</v>
      </c>
      <c r="B174" t="s">
        <v>52</v>
      </c>
      <c r="C174" s="2">
        <v>0.16805555555555557</v>
      </c>
      <c r="D174" t="s">
        <v>21</v>
      </c>
      <c r="E174">
        <v>5127</v>
      </c>
      <c r="F174">
        <v>10</v>
      </c>
      <c r="G174">
        <v>9</v>
      </c>
      <c r="H174">
        <v>3</v>
      </c>
      <c r="I174">
        <v>4</v>
      </c>
      <c r="J174">
        <v>2</v>
      </c>
      <c r="K174">
        <v>1522.373610831587</v>
      </c>
      <c r="L174">
        <v>1462.2499076953952</v>
      </c>
      <c r="M174">
        <v>60.123703136191807</v>
      </c>
    </row>
    <row r="175" spans="1:13">
      <c r="A175" t="s">
        <v>42</v>
      </c>
      <c r="B175" t="s">
        <v>38</v>
      </c>
      <c r="C175" s="2">
        <v>8.6805555555555552E-2</v>
      </c>
      <c r="D175" t="s">
        <v>21</v>
      </c>
      <c r="E175">
        <v>4512</v>
      </c>
      <c r="F175">
        <v>4</v>
      </c>
      <c r="G175">
        <v>3</v>
      </c>
      <c r="H175">
        <v>0</v>
      </c>
      <c r="I175">
        <v>2</v>
      </c>
      <c r="J175">
        <v>5</v>
      </c>
      <c r="K175">
        <v>1537.0678487954528</v>
      </c>
      <c r="L175">
        <v>1509.0143313406265</v>
      </c>
      <c r="M175">
        <v>28.053517454826306</v>
      </c>
    </row>
    <row r="176" spans="1:13">
      <c r="A176" t="s">
        <v>46</v>
      </c>
      <c r="B176" t="s">
        <v>39</v>
      </c>
      <c r="C176" s="2">
        <v>8.5416666666666669E-2</v>
      </c>
      <c r="D176" t="s">
        <v>21</v>
      </c>
      <c r="E176">
        <v>10810</v>
      </c>
      <c r="F176">
        <v>5</v>
      </c>
      <c r="G176">
        <v>8</v>
      </c>
      <c r="H176">
        <v>0</v>
      </c>
      <c r="I176">
        <v>2</v>
      </c>
      <c r="J176">
        <v>3</v>
      </c>
      <c r="K176">
        <v>1582.9109404858982</v>
      </c>
      <c r="L176">
        <v>1434.4434671503877</v>
      </c>
      <c r="M176">
        <v>148.46747333551048</v>
      </c>
    </row>
    <row r="177" spans="1:13">
      <c r="A177" t="s">
        <v>51</v>
      </c>
      <c r="B177" t="s">
        <v>33</v>
      </c>
      <c r="C177" s="2">
        <v>8.5416666666666669E-2</v>
      </c>
      <c r="D177" t="s">
        <v>21</v>
      </c>
      <c r="E177">
        <v>7450</v>
      </c>
      <c r="F177">
        <v>6</v>
      </c>
      <c r="G177">
        <v>11</v>
      </c>
      <c r="H177">
        <v>0</v>
      </c>
      <c r="I177">
        <v>2</v>
      </c>
      <c r="J177">
        <v>3</v>
      </c>
      <c r="K177">
        <v>1550.5390837905181</v>
      </c>
      <c r="L177">
        <v>1530.0856615381836</v>
      </c>
      <c r="M177">
        <v>20.453422252334576</v>
      </c>
    </row>
    <row r="178" spans="1:13">
      <c r="A178" t="s">
        <v>18</v>
      </c>
      <c r="B178" t="s">
        <v>42</v>
      </c>
      <c r="C178" s="2">
        <v>4.5138888888888888E-2</v>
      </c>
      <c r="D178" t="s">
        <v>21</v>
      </c>
      <c r="E178">
        <v>6590</v>
      </c>
      <c r="F178">
        <v>0</v>
      </c>
      <c r="G178">
        <v>4</v>
      </c>
      <c r="H178">
        <v>0</v>
      </c>
      <c r="I178">
        <v>1</v>
      </c>
      <c r="J178">
        <v>5</v>
      </c>
      <c r="K178">
        <v>1521.6460013652752</v>
      </c>
      <c r="L178">
        <v>1497.1238724804657</v>
      </c>
      <c r="M178">
        <v>24.52212888480949</v>
      </c>
    </row>
    <row r="179" spans="1:13">
      <c r="A179" t="s">
        <v>52</v>
      </c>
      <c r="B179" t="s">
        <v>28</v>
      </c>
      <c r="C179" s="2">
        <v>2.0833333333333333E-3</v>
      </c>
      <c r="D179" t="s">
        <v>21</v>
      </c>
      <c r="E179">
        <v>16002</v>
      </c>
      <c r="F179">
        <v>9</v>
      </c>
      <c r="G179">
        <v>1</v>
      </c>
      <c r="H179">
        <v>0</v>
      </c>
      <c r="I179">
        <v>0</v>
      </c>
      <c r="J179">
        <v>3</v>
      </c>
      <c r="K179">
        <v>1483.1147714750978</v>
      </c>
      <c r="L179">
        <v>1571.5259975624294</v>
      </c>
      <c r="M179">
        <v>-88.41122608733167</v>
      </c>
    </row>
    <row r="180" spans="1:13">
      <c r="A180" t="s">
        <v>38</v>
      </c>
      <c r="B180" t="s">
        <v>46</v>
      </c>
      <c r="C180" s="2">
        <v>0.1673611111111111</v>
      </c>
      <c r="D180" t="s">
        <v>21</v>
      </c>
      <c r="E180">
        <v>6407</v>
      </c>
      <c r="F180">
        <v>3</v>
      </c>
      <c r="G180">
        <v>5</v>
      </c>
      <c r="H180">
        <v>3</v>
      </c>
      <c r="I180">
        <v>4</v>
      </c>
      <c r="J180">
        <v>1</v>
      </c>
      <c r="K180">
        <v>1548.9583076556137</v>
      </c>
      <c r="L180">
        <v>1539.62744888473</v>
      </c>
      <c r="M180">
        <v>9.3308587708836512</v>
      </c>
    </row>
    <row r="181" spans="1:13">
      <c r="A181" t="s">
        <v>29</v>
      </c>
      <c r="B181" t="s">
        <v>51</v>
      </c>
      <c r="C181" s="2">
        <v>0.20972222222222223</v>
      </c>
      <c r="D181" t="s">
        <v>21</v>
      </c>
      <c r="E181">
        <v>9600</v>
      </c>
      <c r="F181">
        <v>12</v>
      </c>
      <c r="G181">
        <v>6</v>
      </c>
      <c r="H181">
        <v>3</v>
      </c>
      <c r="I181">
        <v>5</v>
      </c>
      <c r="J181">
        <v>2</v>
      </c>
      <c r="K181">
        <v>1513.5058746191125</v>
      </c>
      <c r="L181">
        <v>1510.8137872554476</v>
      </c>
      <c r="M181">
        <v>2.6920873636649958</v>
      </c>
    </row>
    <row r="182" spans="1:13">
      <c r="A182" t="s">
        <v>43</v>
      </c>
      <c r="B182" t="s">
        <v>19</v>
      </c>
      <c r="C182" s="2">
        <v>0.25069444444444444</v>
      </c>
      <c r="D182" t="s">
        <v>21</v>
      </c>
      <c r="E182">
        <v>6000</v>
      </c>
      <c r="F182">
        <v>13</v>
      </c>
      <c r="G182">
        <v>10</v>
      </c>
      <c r="H182">
        <v>3</v>
      </c>
      <c r="I182">
        <v>6</v>
      </c>
      <c r="J182">
        <v>1</v>
      </c>
      <c r="K182">
        <v>1499.5550982917903</v>
      </c>
      <c r="L182">
        <v>1501.5087470518845</v>
      </c>
      <c r="M182">
        <v>-1.953648760094211</v>
      </c>
    </row>
    <row r="183" spans="1:13">
      <c r="A183" t="s">
        <v>47</v>
      </c>
      <c r="B183" t="s">
        <v>19</v>
      </c>
      <c r="C183" s="2">
        <v>0.12569444444444444</v>
      </c>
      <c r="D183" t="s">
        <v>21</v>
      </c>
      <c r="E183">
        <v>5545</v>
      </c>
      <c r="F183">
        <v>7</v>
      </c>
      <c r="G183">
        <v>10</v>
      </c>
      <c r="H183">
        <v>3</v>
      </c>
      <c r="I183">
        <v>3</v>
      </c>
      <c r="J183">
        <v>1</v>
      </c>
      <c r="K183">
        <v>1482.4100072389181</v>
      </c>
      <c r="L183">
        <v>1490.5916314549127</v>
      </c>
      <c r="M183">
        <v>-8.1816242159945887</v>
      </c>
    </row>
    <row r="184" spans="1:13">
      <c r="A184" t="s">
        <v>32</v>
      </c>
      <c r="B184" t="s">
        <v>38</v>
      </c>
      <c r="C184" s="2">
        <v>8.6805555555555552E-2</v>
      </c>
      <c r="D184" t="s">
        <v>21</v>
      </c>
      <c r="E184">
        <v>9372</v>
      </c>
      <c r="F184">
        <v>2</v>
      </c>
      <c r="G184">
        <v>3</v>
      </c>
      <c r="H184">
        <v>0</v>
      </c>
      <c r="I184">
        <v>2</v>
      </c>
      <c r="J184">
        <v>5</v>
      </c>
      <c r="K184">
        <v>1552.6721692944247</v>
      </c>
      <c r="L184">
        <v>1529.5525125378965</v>
      </c>
      <c r="M184">
        <v>23.119656756528229</v>
      </c>
    </row>
    <row r="185" spans="1:13">
      <c r="A185" t="s">
        <v>42</v>
      </c>
      <c r="B185" t="s">
        <v>29</v>
      </c>
      <c r="C185" s="2">
        <v>0.12777777777777777</v>
      </c>
      <c r="D185" t="s">
        <v>21</v>
      </c>
      <c r="E185">
        <v>4256</v>
      </c>
      <c r="F185">
        <v>4</v>
      </c>
      <c r="G185">
        <v>12</v>
      </c>
      <c r="H185">
        <v>0</v>
      </c>
      <c r="I185">
        <v>3</v>
      </c>
      <c r="J185">
        <v>4</v>
      </c>
      <c r="K185">
        <v>1536.9662197389814</v>
      </c>
      <c r="L185">
        <v>1494.2902449833616</v>
      </c>
      <c r="M185">
        <v>42.675974755619791</v>
      </c>
    </row>
    <row r="186" spans="1:13">
      <c r="A186" t="s">
        <v>46</v>
      </c>
      <c r="B186" t="s">
        <v>18</v>
      </c>
      <c r="C186" s="2">
        <v>0.12638888888888888</v>
      </c>
      <c r="D186" t="s">
        <v>35</v>
      </c>
      <c r="E186">
        <v>11184</v>
      </c>
      <c r="F186">
        <v>5</v>
      </c>
      <c r="G186">
        <v>0</v>
      </c>
      <c r="H186">
        <v>2</v>
      </c>
      <c r="I186">
        <v>3</v>
      </c>
      <c r="J186">
        <v>2</v>
      </c>
      <c r="K186">
        <v>1559.0332440024472</v>
      </c>
      <c r="L186">
        <v>1481.8036541067595</v>
      </c>
      <c r="M186">
        <v>77.229589895687695</v>
      </c>
    </row>
    <row r="187" spans="1:13">
      <c r="A187" t="s">
        <v>51</v>
      </c>
      <c r="B187" t="s">
        <v>52</v>
      </c>
      <c r="C187" s="2">
        <v>0.16805555555555557</v>
      </c>
      <c r="D187" t="s">
        <v>21</v>
      </c>
      <c r="E187">
        <v>7179</v>
      </c>
      <c r="F187">
        <v>6</v>
      </c>
      <c r="G187">
        <v>9</v>
      </c>
      <c r="H187">
        <v>3</v>
      </c>
      <c r="I187">
        <v>4</v>
      </c>
      <c r="J187">
        <v>2</v>
      </c>
      <c r="K187">
        <v>1530.0294168911985</v>
      </c>
      <c r="L187">
        <v>1446.3968186150944</v>
      </c>
      <c r="M187">
        <v>83.63259827610409</v>
      </c>
    </row>
    <row r="188" spans="1:13">
      <c r="A188" t="s">
        <v>28</v>
      </c>
      <c r="B188" t="s">
        <v>39</v>
      </c>
      <c r="C188" s="2">
        <v>0.33333333333333331</v>
      </c>
      <c r="D188" t="s">
        <v>21</v>
      </c>
      <c r="E188">
        <v>3904</v>
      </c>
      <c r="F188">
        <v>1</v>
      </c>
      <c r="G188">
        <v>8</v>
      </c>
      <c r="H188">
        <v>3</v>
      </c>
      <c r="I188">
        <v>8</v>
      </c>
      <c r="J188">
        <v>0</v>
      </c>
      <c r="K188">
        <v>1608.2439504224328</v>
      </c>
      <c r="L188">
        <v>1447.7269587515559</v>
      </c>
      <c r="M188">
        <v>160.51699167087691</v>
      </c>
    </row>
    <row r="189" spans="1:13">
      <c r="A189" t="s">
        <v>29</v>
      </c>
      <c r="B189" t="s">
        <v>43</v>
      </c>
      <c r="C189" s="2">
        <v>0.25277777777777777</v>
      </c>
      <c r="D189" t="s">
        <v>21</v>
      </c>
      <c r="E189">
        <v>9600</v>
      </c>
      <c r="F189">
        <v>12</v>
      </c>
      <c r="G189">
        <v>13</v>
      </c>
      <c r="H189">
        <v>3</v>
      </c>
      <c r="I189">
        <v>6</v>
      </c>
      <c r="J189">
        <v>4</v>
      </c>
      <c r="K189">
        <v>1534.6549270683852</v>
      </c>
      <c r="L189">
        <v>1480.4722138887621</v>
      </c>
      <c r="M189">
        <v>54.182713179623079</v>
      </c>
    </row>
    <row r="190" spans="1:13">
      <c r="A190" t="s">
        <v>51</v>
      </c>
      <c r="B190" t="s">
        <v>38</v>
      </c>
      <c r="C190" s="2">
        <v>0.12569444444444444</v>
      </c>
      <c r="D190" t="s">
        <v>21</v>
      </c>
      <c r="E190">
        <v>7103</v>
      </c>
      <c r="F190">
        <v>6</v>
      </c>
      <c r="G190">
        <v>3</v>
      </c>
      <c r="H190">
        <v>3</v>
      </c>
      <c r="I190">
        <v>3</v>
      </c>
      <c r="J190">
        <v>1</v>
      </c>
      <c r="K190">
        <v>1538.4978923342769</v>
      </c>
      <c r="L190">
        <v>1539.3545062237622</v>
      </c>
      <c r="M190">
        <v>-0.85661388948528838</v>
      </c>
    </row>
    <row r="191" spans="1:13">
      <c r="A191" t="s">
        <v>52</v>
      </c>
      <c r="B191" t="s">
        <v>46</v>
      </c>
      <c r="C191" s="2">
        <v>8.4027777777777785E-2</v>
      </c>
      <c r="D191" t="s">
        <v>21</v>
      </c>
      <c r="E191">
        <v>14756</v>
      </c>
      <c r="F191">
        <v>9</v>
      </c>
      <c r="G191">
        <v>5</v>
      </c>
      <c r="H191">
        <v>3</v>
      </c>
      <c r="I191">
        <v>2</v>
      </c>
      <c r="J191">
        <v>1</v>
      </c>
      <c r="K191">
        <v>1467.928343172016</v>
      </c>
      <c r="L191">
        <v>1517.6821790321108</v>
      </c>
      <c r="M191">
        <v>-49.753835860094796</v>
      </c>
    </row>
    <row r="192" spans="1:13">
      <c r="A192" t="s">
        <v>47</v>
      </c>
      <c r="B192" t="s">
        <v>32</v>
      </c>
      <c r="C192" s="2">
        <v>8.5416666666666669E-2</v>
      </c>
      <c r="D192" t="s">
        <v>21</v>
      </c>
      <c r="E192">
        <v>6472</v>
      </c>
      <c r="F192">
        <v>7</v>
      </c>
      <c r="G192">
        <v>2</v>
      </c>
      <c r="H192">
        <v>0</v>
      </c>
      <c r="I192">
        <v>2</v>
      </c>
      <c r="J192">
        <v>3</v>
      </c>
      <c r="K192">
        <v>1493.5045599509647</v>
      </c>
      <c r="L192">
        <v>1512.8701756085591</v>
      </c>
      <c r="M192">
        <v>-19.36561565759439</v>
      </c>
    </row>
    <row r="193" spans="1:13">
      <c r="A193" t="s">
        <v>28</v>
      </c>
      <c r="B193" t="s">
        <v>42</v>
      </c>
      <c r="C193" s="2">
        <v>0.16875000000000001</v>
      </c>
      <c r="D193" t="s">
        <v>63</v>
      </c>
      <c r="E193">
        <v>5073</v>
      </c>
      <c r="F193">
        <v>1</v>
      </c>
      <c r="G193">
        <v>4</v>
      </c>
      <c r="H193">
        <v>2</v>
      </c>
      <c r="I193">
        <v>4</v>
      </c>
      <c r="J193">
        <v>3</v>
      </c>
      <c r="K193">
        <v>1614.6546419308288</v>
      </c>
      <c r="L193">
        <v>1496.6015376539578</v>
      </c>
      <c r="M193">
        <v>118.05310427687095</v>
      </c>
    </row>
    <row r="194" spans="1:13">
      <c r="A194" t="s">
        <v>19</v>
      </c>
      <c r="B194" t="s">
        <v>39</v>
      </c>
      <c r="C194" s="2">
        <v>8.5416666666666669E-2</v>
      </c>
      <c r="D194" t="s">
        <v>21</v>
      </c>
      <c r="E194">
        <v>4107</v>
      </c>
      <c r="F194">
        <v>10</v>
      </c>
      <c r="G194">
        <v>8</v>
      </c>
      <c r="H194">
        <v>0</v>
      </c>
      <c r="I194">
        <v>2</v>
      </c>
      <c r="J194">
        <v>3</v>
      </c>
      <c r="K194">
        <v>1509.4970787428661</v>
      </c>
      <c r="L194">
        <v>1441.3162672431599</v>
      </c>
      <c r="M194">
        <v>68.180811499706124</v>
      </c>
    </row>
    <row r="195" spans="1:13">
      <c r="A195" t="s">
        <v>33</v>
      </c>
      <c r="B195" t="s">
        <v>18</v>
      </c>
      <c r="C195" s="2">
        <v>0.20902777777777778</v>
      </c>
      <c r="D195" t="s">
        <v>21</v>
      </c>
      <c r="E195">
        <v>6733</v>
      </c>
      <c r="F195">
        <v>11</v>
      </c>
      <c r="G195">
        <v>0</v>
      </c>
      <c r="H195">
        <v>3</v>
      </c>
      <c r="I195">
        <v>5</v>
      </c>
      <c r="J195">
        <v>1</v>
      </c>
      <c r="K195">
        <v>1569.8109580732541</v>
      </c>
      <c r="L195">
        <v>1493.1547190770959</v>
      </c>
      <c r="M195">
        <v>76.656238996158208</v>
      </c>
    </row>
    <row r="196" spans="1:13">
      <c r="A196" t="s">
        <v>39</v>
      </c>
      <c r="B196" t="s">
        <v>51</v>
      </c>
      <c r="C196" s="2">
        <v>0.12638888888888888</v>
      </c>
      <c r="D196" t="s">
        <v>63</v>
      </c>
      <c r="E196">
        <v>4708</v>
      </c>
      <c r="F196">
        <v>8</v>
      </c>
      <c r="G196">
        <v>6</v>
      </c>
      <c r="H196">
        <v>2</v>
      </c>
      <c r="I196">
        <v>3</v>
      </c>
      <c r="J196">
        <v>2</v>
      </c>
      <c r="K196">
        <v>1482.4107968435906</v>
      </c>
      <c r="L196">
        <v>1519.3836893436578</v>
      </c>
      <c r="M196">
        <v>-36.972892500067246</v>
      </c>
    </row>
    <row r="197" spans="1:13">
      <c r="A197" t="s">
        <v>18</v>
      </c>
      <c r="B197" t="s">
        <v>47</v>
      </c>
      <c r="C197" s="2">
        <v>0.21111111111111111</v>
      </c>
      <c r="D197" t="s">
        <v>63</v>
      </c>
      <c r="E197">
        <v>6429</v>
      </c>
      <c r="F197">
        <v>0</v>
      </c>
      <c r="G197">
        <v>7</v>
      </c>
      <c r="H197">
        <v>2</v>
      </c>
      <c r="I197">
        <v>5</v>
      </c>
      <c r="J197">
        <v>4</v>
      </c>
      <c r="K197">
        <v>1514.4895793140533</v>
      </c>
      <c r="L197">
        <v>1454.9159315951435</v>
      </c>
      <c r="M197">
        <v>59.573647718909797</v>
      </c>
    </row>
    <row r="198" spans="1:13">
      <c r="A198" t="s">
        <v>32</v>
      </c>
      <c r="B198" t="s">
        <v>52</v>
      </c>
      <c r="C198" s="2">
        <v>8.4027777777777785E-2</v>
      </c>
      <c r="D198" t="s">
        <v>21</v>
      </c>
      <c r="E198">
        <v>9372</v>
      </c>
      <c r="F198">
        <v>2</v>
      </c>
      <c r="G198">
        <v>9</v>
      </c>
      <c r="H198">
        <v>3</v>
      </c>
      <c r="I198">
        <v>2</v>
      </c>
      <c r="J198">
        <v>1</v>
      </c>
      <c r="K198">
        <v>1551.4588039643802</v>
      </c>
      <c r="L198">
        <v>1450.1843560839989</v>
      </c>
      <c r="M198">
        <v>101.27444788038133</v>
      </c>
    </row>
    <row r="199" spans="1:13">
      <c r="A199" t="s">
        <v>38</v>
      </c>
      <c r="B199" t="s">
        <v>28</v>
      </c>
      <c r="C199" s="2">
        <v>0.12638888888888888</v>
      </c>
      <c r="D199" t="s">
        <v>35</v>
      </c>
      <c r="E199">
        <v>6722</v>
      </c>
      <c r="F199">
        <v>3</v>
      </c>
      <c r="G199">
        <v>1</v>
      </c>
      <c r="H199">
        <v>2</v>
      </c>
      <c r="I199">
        <v>3</v>
      </c>
      <c r="J199">
        <v>2</v>
      </c>
      <c r="K199">
        <v>1558.4687092143813</v>
      </c>
      <c r="L199">
        <v>1572.1731723582195</v>
      </c>
      <c r="M199">
        <v>-13.704463143838211</v>
      </c>
    </row>
    <row r="200" spans="1:13">
      <c r="A200" t="s">
        <v>46</v>
      </c>
      <c r="B200" t="s">
        <v>43</v>
      </c>
      <c r="C200" s="2">
        <v>8.5416666666666669E-2</v>
      </c>
      <c r="D200" t="s">
        <v>35</v>
      </c>
      <c r="E200">
        <v>11559</v>
      </c>
      <c r="F200">
        <v>5</v>
      </c>
      <c r="G200">
        <v>13</v>
      </c>
      <c r="H200">
        <v>1</v>
      </c>
      <c r="I200">
        <v>2</v>
      </c>
      <c r="J200">
        <v>3</v>
      </c>
      <c r="K200">
        <v>1535.4261661201278</v>
      </c>
      <c r="L200">
        <v>1471.1671264866752</v>
      </c>
      <c r="M200">
        <v>64.25903963345263</v>
      </c>
    </row>
    <row r="201" spans="1:13">
      <c r="A201" t="s">
        <v>43</v>
      </c>
      <c r="B201" t="s">
        <v>29</v>
      </c>
      <c r="C201" s="2">
        <v>0.12777777777777777</v>
      </c>
      <c r="D201" t="s">
        <v>21</v>
      </c>
      <c r="E201">
        <v>6000</v>
      </c>
      <c r="F201">
        <v>13</v>
      </c>
      <c r="G201">
        <v>12</v>
      </c>
      <c r="H201">
        <v>0</v>
      </c>
      <c r="I201">
        <v>3</v>
      </c>
      <c r="J201">
        <v>4</v>
      </c>
      <c r="K201">
        <v>1502.1499974783264</v>
      </c>
      <c r="L201">
        <v>1513.9600144704721</v>
      </c>
      <c r="M201">
        <v>-11.81001699214562</v>
      </c>
    </row>
    <row r="202" spans="1:13">
      <c r="A202" t="s">
        <v>42</v>
      </c>
      <c r="B202" t="s">
        <v>33</v>
      </c>
      <c r="C202" s="2">
        <v>0.12638888888888888</v>
      </c>
      <c r="D202" t="s">
        <v>63</v>
      </c>
      <c r="E202">
        <v>5798</v>
      </c>
      <c r="F202">
        <v>4</v>
      </c>
      <c r="G202">
        <v>11</v>
      </c>
      <c r="H202">
        <v>2</v>
      </c>
      <c r="I202">
        <v>3</v>
      </c>
      <c r="J202">
        <v>2</v>
      </c>
      <c r="K202">
        <v>1539.0830072265671</v>
      </c>
      <c r="L202">
        <v>1548.4760978362967</v>
      </c>
      <c r="M202">
        <v>-9.3930906097295974</v>
      </c>
    </row>
    <row r="203" spans="1:13">
      <c r="A203" t="s">
        <v>52</v>
      </c>
      <c r="B203" t="s">
        <v>47</v>
      </c>
      <c r="C203" s="2">
        <v>0.25138888888888888</v>
      </c>
      <c r="D203" t="s">
        <v>21</v>
      </c>
      <c r="E203">
        <v>15027</v>
      </c>
      <c r="F203">
        <v>9</v>
      </c>
      <c r="G203">
        <v>7</v>
      </c>
      <c r="H203">
        <v>3</v>
      </c>
      <c r="I203">
        <v>6</v>
      </c>
      <c r="J203">
        <v>2</v>
      </c>
      <c r="K203">
        <v>1472.2074981318317</v>
      </c>
      <c r="L203">
        <v>1465.7650797892666</v>
      </c>
      <c r="M203">
        <v>6.4424183425651336</v>
      </c>
    </row>
    <row r="204" spans="1:13">
      <c r="A204" t="s">
        <v>32</v>
      </c>
      <c r="B204" t="s">
        <v>42</v>
      </c>
      <c r="C204" s="2">
        <v>8.611111111111111E-2</v>
      </c>
      <c r="D204" t="s">
        <v>21</v>
      </c>
      <c r="E204">
        <v>9372</v>
      </c>
      <c r="F204">
        <v>2</v>
      </c>
      <c r="G204">
        <v>4</v>
      </c>
      <c r="H204">
        <v>0</v>
      </c>
      <c r="I204">
        <v>2</v>
      </c>
      <c r="J204">
        <v>4</v>
      </c>
      <c r="K204">
        <v>1559.4356619165474</v>
      </c>
      <c r="L204">
        <v>1500.2119977171394</v>
      </c>
      <c r="M204">
        <v>59.223664199407949</v>
      </c>
    </row>
    <row r="205" spans="1:13">
      <c r="A205" t="s">
        <v>28</v>
      </c>
      <c r="B205" t="s">
        <v>38</v>
      </c>
      <c r="C205" s="2">
        <v>0.25138888888888888</v>
      </c>
      <c r="D205" t="s">
        <v>21</v>
      </c>
      <c r="E205">
        <v>4554</v>
      </c>
      <c r="F205">
        <v>1</v>
      </c>
      <c r="G205">
        <v>3</v>
      </c>
      <c r="H205">
        <v>3</v>
      </c>
      <c r="I205">
        <v>6</v>
      </c>
      <c r="J205">
        <v>2</v>
      </c>
      <c r="K205">
        <v>1610.9218499462047</v>
      </c>
      <c r="L205">
        <v>1519.7200316263961</v>
      </c>
      <c r="M205">
        <v>91.201818319808581</v>
      </c>
    </row>
    <row r="206" spans="1:13">
      <c r="A206" t="s">
        <v>18</v>
      </c>
      <c r="B206" t="s">
        <v>38</v>
      </c>
      <c r="C206" s="2">
        <v>0.20972222222222223</v>
      </c>
      <c r="D206" t="s">
        <v>21</v>
      </c>
      <c r="E206">
        <v>5924</v>
      </c>
      <c r="F206">
        <v>0</v>
      </c>
      <c r="G206">
        <v>3</v>
      </c>
      <c r="H206">
        <v>3</v>
      </c>
      <c r="I206">
        <v>5</v>
      </c>
      <c r="J206">
        <v>2</v>
      </c>
      <c r="K206">
        <v>1503.6404311199303</v>
      </c>
      <c r="L206">
        <v>1511.4635648798746</v>
      </c>
      <c r="M206">
        <v>-7.8231337599443123</v>
      </c>
    </row>
    <row r="207" spans="1:13">
      <c r="A207" t="s">
        <v>39</v>
      </c>
      <c r="B207" t="s">
        <v>32</v>
      </c>
      <c r="C207" s="2">
        <v>4.5138888888888888E-2</v>
      </c>
      <c r="D207" t="s">
        <v>21</v>
      </c>
      <c r="E207">
        <v>5195</v>
      </c>
      <c r="F207">
        <v>8</v>
      </c>
      <c r="G207">
        <v>2</v>
      </c>
      <c r="H207">
        <v>0</v>
      </c>
      <c r="I207">
        <v>1</v>
      </c>
      <c r="J207">
        <v>5</v>
      </c>
      <c r="K207">
        <v>1474.3149057189992</v>
      </c>
      <c r="L207">
        <v>1518.596515275932</v>
      </c>
      <c r="M207">
        <v>-44.281609556932835</v>
      </c>
    </row>
    <row r="208" spans="1:13">
      <c r="A208" t="s">
        <v>28</v>
      </c>
      <c r="B208" t="s">
        <v>46</v>
      </c>
      <c r="C208" s="2">
        <v>8.5416666666666669E-2</v>
      </c>
      <c r="D208" t="s">
        <v>63</v>
      </c>
      <c r="E208">
        <v>6547</v>
      </c>
      <c r="F208">
        <v>1</v>
      </c>
      <c r="G208">
        <v>5</v>
      </c>
      <c r="H208">
        <v>1</v>
      </c>
      <c r="I208">
        <v>2</v>
      </c>
      <c r="J208">
        <v>3</v>
      </c>
      <c r="K208">
        <v>1619.1783166927262</v>
      </c>
      <c r="L208">
        <v>1504.4432951284766</v>
      </c>
      <c r="M208">
        <v>114.73502156424956</v>
      </c>
    </row>
    <row r="209" spans="1:13">
      <c r="A209" t="s">
        <v>33</v>
      </c>
      <c r="B209" t="s">
        <v>19</v>
      </c>
      <c r="C209" s="2">
        <v>0.1673611111111111</v>
      </c>
      <c r="D209" t="s">
        <v>21</v>
      </c>
      <c r="E209">
        <v>5125</v>
      </c>
      <c r="F209">
        <v>11</v>
      </c>
      <c r="G209">
        <v>10</v>
      </c>
      <c r="H209">
        <v>3</v>
      </c>
      <c r="I209">
        <v>4</v>
      </c>
      <c r="J209">
        <v>1</v>
      </c>
      <c r="K209">
        <v>1587.3471073457245</v>
      </c>
      <c r="L209">
        <v>1468.4025491424354</v>
      </c>
      <c r="M209">
        <v>118.94455820328903</v>
      </c>
    </row>
    <row r="210" spans="1:13">
      <c r="A210" t="s">
        <v>42</v>
      </c>
      <c r="B210" t="s">
        <v>47</v>
      </c>
      <c r="C210" s="2">
        <v>8.5416666666666669E-2</v>
      </c>
      <c r="D210" t="s">
        <v>63</v>
      </c>
      <c r="E210">
        <v>4722</v>
      </c>
      <c r="F210">
        <v>4</v>
      </c>
      <c r="G210">
        <v>7</v>
      </c>
      <c r="H210">
        <v>1</v>
      </c>
      <c r="I210">
        <v>2</v>
      </c>
      <c r="J210">
        <v>3</v>
      </c>
      <c r="K210">
        <v>1541.0511443577548</v>
      </c>
      <c r="L210">
        <v>1455.0880752551591</v>
      </c>
      <c r="M210">
        <v>85.963069102595682</v>
      </c>
    </row>
    <row r="211" spans="1:13">
      <c r="A211" t="s">
        <v>43</v>
      </c>
      <c r="B211" t="s">
        <v>51</v>
      </c>
      <c r="C211" s="2">
        <v>0.12569444444444444</v>
      </c>
      <c r="D211" t="s">
        <v>21</v>
      </c>
      <c r="E211">
        <v>5575</v>
      </c>
      <c r="F211">
        <v>13</v>
      </c>
      <c r="G211">
        <v>6</v>
      </c>
      <c r="H211">
        <v>3</v>
      </c>
      <c r="I211">
        <v>3</v>
      </c>
      <c r="J211">
        <v>1</v>
      </c>
      <c r="K211">
        <v>1493.3476110144043</v>
      </c>
      <c r="L211">
        <v>1527.4795804682492</v>
      </c>
      <c r="M211">
        <v>-34.131969453844931</v>
      </c>
    </row>
    <row r="212" spans="1:13">
      <c r="A212" t="s">
        <v>52</v>
      </c>
      <c r="B212" t="s">
        <v>43</v>
      </c>
      <c r="C212" s="2">
        <v>0.20902777777777778</v>
      </c>
      <c r="D212" t="s">
        <v>21</v>
      </c>
      <c r="E212">
        <v>16503</v>
      </c>
      <c r="F212">
        <v>9</v>
      </c>
      <c r="G212">
        <v>13</v>
      </c>
      <c r="H212">
        <v>3</v>
      </c>
      <c r="I212">
        <v>5</v>
      </c>
      <c r="J212">
        <v>1</v>
      </c>
      <c r="K212">
        <v>1482.8845026659392</v>
      </c>
      <c r="L212">
        <v>1475.1727950458026</v>
      </c>
      <c r="M212">
        <v>7.7117076201366217</v>
      </c>
    </row>
    <row r="213" spans="1:13">
      <c r="A213" t="s">
        <v>47</v>
      </c>
      <c r="B213" t="s">
        <v>29</v>
      </c>
      <c r="C213" s="2">
        <v>4.3055555555555555E-2</v>
      </c>
      <c r="D213" t="s">
        <v>21</v>
      </c>
      <c r="E213">
        <v>6240</v>
      </c>
      <c r="F213">
        <v>7</v>
      </c>
      <c r="G213">
        <v>12</v>
      </c>
      <c r="H213">
        <v>0</v>
      </c>
      <c r="I213">
        <v>1</v>
      </c>
      <c r="J213">
        <v>2</v>
      </c>
      <c r="K213">
        <v>1486.6850346315944</v>
      </c>
      <c r="L213">
        <v>1522.7624009343942</v>
      </c>
      <c r="M213">
        <v>-36.077366302799874</v>
      </c>
    </row>
    <row r="214" spans="1:13">
      <c r="A214" t="s">
        <v>38</v>
      </c>
      <c r="B214" t="s">
        <v>39</v>
      </c>
      <c r="C214" s="2">
        <v>0.25069444444444444</v>
      </c>
      <c r="D214" t="s">
        <v>21</v>
      </c>
      <c r="E214">
        <v>6337</v>
      </c>
      <c r="F214">
        <v>3</v>
      </c>
      <c r="G214">
        <v>8</v>
      </c>
      <c r="H214">
        <v>3</v>
      </c>
      <c r="I214">
        <v>6</v>
      </c>
      <c r="J214">
        <v>1</v>
      </c>
      <c r="K214">
        <v>1530.3792078838817</v>
      </c>
      <c r="L214">
        <v>1436.4209109602225</v>
      </c>
      <c r="M214">
        <v>93.958296923659191</v>
      </c>
    </row>
    <row r="215" spans="1:13">
      <c r="A215" t="s">
        <v>32</v>
      </c>
      <c r="B215" t="s">
        <v>28</v>
      </c>
      <c r="C215" s="2">
        <v>0.16666666666666666</v>
      </c>
      <c r="D215" t="s">
        <v>21</v>
      </c>
      <c r="E215">
        <v>9372</v>
      </c>
      <c r="F215">
        <v>2</v>
      </c>
      <c r="G215">
        <v>1</v>
      </c>
      <c r="H215">
        <v>3</v>
      </c>
      <c r="I215">
        <v>4</v>
      </c>
      <c r="J215">
        <v>0</v>
      </c>
      <c r="K215">
        <v>1556.4905100347087</v>
      </c>
      <c r="L215">
        <v>1586.7866786499117</v>
      </c>
      <c r="M215">
        <v>-30.296168615202987</v>
      </c>
    </row>
    <row r="216" spans="1:13">
      <c r="A216" t="s">
        <v>19</v>
      </c>
      <c r="B216" t="s">
        <v>18</v>
      </c>
      <c r="C216" s="2">
        <v>8.4027777777777785E-2</v>
      </c>
      <c r="D216" t="s">
        <v>21</v>
      </c>
      <c r="E216">
        <v>6632</v>
      </c>
      <c r="F216">
        <v>10</v>
      </c>
      <c r="G216">
        <v>0</v>
      </c>
      <c r="H216">
        <v>3</v>
      </c>
      <c r="I216">
        <v>2</v>
      </c>
      <c r="J216">
        <v>1</v>
      </c>
      <c r="K216">
        <v>1490.9080815010575</v>
      </c>
      <c r="L216">
        <v>1484.7247881159233</v>
      </c>
      <c r="M216">
        <v>6.1832933851342204</v>
      </c>
    </row>
    <row r="217" spans="1:13">
      <c r="A217" t="s">
        <v>46</v>
      </c>
      <c r="B217" t="s">
        <v>42</v>
      </c>
      <c r="C217" s="2">
        <v>0.12569444444444444</v>
      </c>
      <c r="D217" t="s">
        <v>21</v>
      </c>
      <c r="E217">
        <v>12000</v>
      </c>
      <c r="F217">
        <v>5</v>
      </c>
      <c r="G217">
        <v>4</v>
      </c>
      <c r="H217">
        <v>3</v>
      </c>
      <c r="I217">
        <v>3</v>
      </c>
      <c r="J217">
        <v>1</v>
      </c>
      <c r="K217">
        <v>1536.8349331712911</v>
      </c>
      <c r="L217">
        <v>1509.4541849813195</v>
      </c>
      <c r="M217">
        <v>27.380748189971655</v>
      </c>
    </row>
    <row r="218" spans="1:13">
      <c r="A218" t="s">
        <v>33</v>
      </c>
      <c r="B218" t="s">
        <v>52</v>
      </c>
      <c r="C218" s="2">
        <v>0.12569444444444444</v>
      </c>
      <c r="D218" t="s">
        <v>21</v>
      </c>
      <c r="E218">
        <v>5703</v>
      </c>
      <c r="F218">
        <v>11</v>
      </c>
      <c r="G218">
        <v>9</v>
      </c>
      <c r="H218">
        <v>3</v>
      </c>
      <c r="I218">
        <v>3</v>
      </c>
      <c r="J218">
        <v>1</v>
      </c>
      <c r="K218">
        <v>1594.8415749871024</v>
      </c>
      <c r="L218">
        <v>1463.5251327271887</v>
      </c>
      <c r="M218">
        <v>131.31644225991363</v>
      </c>
    </row>
    <row r="219" spans="1:13">
      <c r="A219" t="s">
        <v>51</v>
      </c>
      <c r="B219" t="s">
        <v>19</v>
      </c>
      <c r="C219" s="2">
        <v>0.21111111111111111</v>
      </c>
      <c r="D219" t="s">
        <v>21</v>
      </c>
      <c r="E219">
        <v>7049</v>
      </c>
      <c r="F219">
        <v>6</v>
      </c>
      <c r="G219">
        <v>10</v>
      </c>
      <c r="H219">
        <v>3</v>
      </c>
      <c r="I219">
        <v>5</v>
      </c>
      <c r="J219">
        <v>4</v>
      </c>
      <c r="K219">
        <v>1545.6543964368509</v>
      </c>
      <c r="L219">
        <v>1471.5925096911287</v>
      </c>
      <c r="M219">
        <v>74.061886745722177</v>
      </c>
    </row>
    <row r="220" spans="1:13">
      <c r="A220" t="s">
        <v>46</v>
      </c>
      <c r="B220" t="s">
        <v>33</v>
      </c>
      <c r="C220" s="2">
        <v>0.21041666666666667</v>
      </c>
      <c r="D220" t="s">
        <v>21</v>
      </c>
      <c r="E220">
        <v>11195</v>
      </c>
      <c r="F220">
        <v>5</v>
      </c>
      <c r="G220">
        <v>11</v>
      </c>
      <c r="H220">
        <v>3</v>
      </c>
      <c r="I220">
        <v>5</v>
      </c>
      <c r="J220">
        <v>3</v>
      </c>
      <c r="K220">
        <v>1546.9103198702853</v>
      </c>
      <c r="L220">
        <v>1572.005395280891</v>
      </c>
      <c r="M220">
        <v>-25.095075410605659</v>
      </c>
    </row>
    <row r="221" spans="1:13">
      <c r="A221" t="s">
        <v>32</v>
      </c>
      <c r="B221" t="s">
        <v>39</v>
      </c>
      <c r="C221" s="2">
        <v>0.16805555555555557</v>
      </c>
      <c r="D221" t="s">
        <v>21</v>
      </c>
      <c r="E221">
        <v>9372</v>
      </c>
      <c r="F221">
        <v>2</v>
      </c>
      <c r="G221">
        <v>8</v>
      </c>
      <c r="H221">
        <v>3</v>
      </c>
      <c r="I221">
        <v>4</v>
      </c>
      <c r="J221">
        <v>2</v>
      </c>
      <c r="K221">
        <v>1568.2087575632631</v>
      </c>
      <c r="L221">
        <v>1428.2412623753178</v>
      </c>
      <c r="M221">
        <v>139.96749518794536</v>
      </c>
    </row>
    <row r="222" spans="1:13">
      <c r="A222" t="s">
        <v>39</v>
      </c>
      <c r="B222" t="s">
        <v>29</v>
      </c>
      <c r="C222" s="2">
        <v>0.12777777777777777</v>
      </c>
      <c r="D222" t="s">
        <v>35</v>
      </c>
      <c r="E222">
        <v>4989</v>
      </c>
      <c r="F222">
        <v>8</v>
      </c>
      <c r="G222">
        <v>12</v>
      </c>
      <c r="H222">
        <v>1</v>
      </c>
      <c r="I222">
        <v>3</v>
      </c>
      <c r="J222">
        <v>4</v>
      </c>
      <c r="K222">
        <v>1451.3047579830013</v>
      </c>
      <c r="L222">
        <v>1530.8831449996837</v>
      </c>
      <c r="M222">
        <v>-79.578387016682427</v>
      </c>
    </row>
    <row r="223" spans="1:13">
      <c r="A223" t="s">
        <v>18</v>
      </c>
      <c r="B223" t="s">
        <v>32</v>
      </c>
      <c r="C223" s="2">
        <v>0.21249999999999999</v>
      </c>
      <c r="D223" t="s">
        <v>35</v>
      </c>
      <c r="E223">
        <v>6552</v>
      </c>
      <c r="F223">
        <v>0</v>
      </c>
      <c r="G223">
        <v>2</v>
      </c>
      <c r="H223">
        <v>1</v>
      </c>
      <c r="I223">
        <v>5</v>
      </c>
      <c r="J223">
        <v>6</v>
      </c>
      <c r="K223">
        <v>1504.040359925852</v>
      </c>
      <c r="L223">
        <v>1545.1452619555796</v>
      </c>
      <c r="M223">
        <v>-41.104902029727555</v>
      </c>
    </row>
    <row r="224" spans="1:13">
      <c r="A224" t="s">
        <v>52</v>
      </c>
      <c r="B224" t="s">
        <v>28</v>
      </c>
      <c r="C224" s="2">
        <v>8.5416666666666669E-2</v>
      </c>
      <c r="D224" t="s">
        <v>35</v>
      </c>
      <c r="E224">
        <v>15689</v>
      </c>
      <c r="F224">
        <v>9</v>
      </c>
      <c r="G224">
        <v>1</v>
      </c>
      <c r="H224">
        <v>1</v>
      </c>
      <c r="I224">
        <v>2</v>
      </c>
      <c r="J224">
        <v>3</v>
      </c>
      <c r="K224">
        <v>1486.3613124334001</v>
      </c>
      <c r="L224">
        <v>1575.0684311213572</v>
      </c>
      <c r="M224">
        <v>-88.707118687957063</v>
      </c>
    </row>
    <row r="225" spans="1:13">
      <c r="A225" t="s">
        <v>38</v>
      </c>
      <c r="B225" t="s">
        <v>43</v>
      </c>
      <c r="C225" s="2">
        <v>4.4444444444444446E-2</v>
      </c>
      <c r="D225" t="s">
        <v>21</v>
      </c>
      <c r="E225">
        <v>6043</v>
      </c>
      <c r="F225">
        <v>3</v>
      </c>
      <c r="G225">
        <v>13</v>
      </c>
      <c r="H225">
        <v>0</v>
      </c>
      <c r="I225">
        <v>1</v>
      </c>
      <c r="J225">
        <v>4</v>
      </c>
      <c r="K225">
        <v>1538.5588564687864</v>
      </c>
      <c r="L225">
        <v>1464.532164984553</v>
      </c>
      <c r="M225">
        <v>74.026691484233424</v>
      </c>
    </row>
    <row r="226" spans="1:13">
      <c r="A226" t="s">
        <v>19</v>
      </c>
      <c r="B226" t="s">
        <v>42</v>
      </c>
      <c r="C226" s="2">
        <v>0.20972222222222223</v>
      </c>
      <c r="D226" t="s">
        <v>21</v>
      </c>
      <c r="E226">
        <v>5035</v>
      </c>
      <c r="F226">
        <v>10</v>
      </c>
      <c r="G226">
        <v>4</v>
      </c>
      <c r="H226">
        <v>3</v>
      </c>
      <c r="I226">
        <v>5</v>
      </c>
      <c r="J226">
        <v>2</v>
      </c>
      <c r="K226">
        <v>1492.8539571922595</v>
      </c>
      <c r="L226">
        <v>1499.3787982823253</v>
      </c>
      <c r="M226">
        <v>-6.52484109006582</v>
      </c>
    </row>
    <row r="227" spans="1:13">
      <c r="A227" t="s">
        <v>51</v>
      </c>
      <c r="B227" t="s">
        <v>47</v>
      </c>
      <c r="C227" s="2">
        <v>0.16666666666666666</v>
      </c>
      <c r="D227" t="s">
        <v>21</v>
      </c>
      <c r="E227">
        <v>7246</v>
      </c>
      <c r="F227">
        <v>6</v>
      </c>
      <c r="G227">
        <v>7</v>
      </c>
      <c r="H227">
        <v>3</v>
      </c>
      <c r="I227">
        <v>4</v>
      </c>
      <c r="J227">
        <v>0</v>
      </c>
      <c r="K227">
        <v>1554.3929489357201</v>
      </c>
      <c r="L227">
        <v>1448.5642905663049</v>
      </c>
      <c r="M227">
        <v>105.82865836941528</v>
      </c>
    </row>
    <row r="228" spans="1:13">
      <c r="A228" t="s">
        <v>28</v>
      </c>
      <c r="B228" t="s">
        <v>33</v>
      </c>
      <c r="C228" s="2">
        <v>0.21111111111111111</v>
      </c>
      <c r="D228" t="s">
        <v>21</v>
      </c>
      <c r="E228">
        <v>6547</v>
      </c>
      <c r="F228">
        <v>1</v>
      </c>
      <c r="G228">
        <v>11</v>
      </c>
      <c r="H228">
        <v>3</v>
      </c>
      <c r="I228">
        <v>5</v>
      </c>
      <c r="J228">
        <v>4</v>
      </c>
      <c r="K228">
        <v>1601.7787870133745</v>
      </c>
      <c r="L228">
        <v>1560.4327913046013</v>
      </c>
      <c r="M228">
        <v>41.345995708773216</v>
      </c>
    </row>
    <row r="229" spans="1:13">
      <c r="A229" t="s">
        <v>32</v>
      </c>
      <c r="B229" t="s">
        <v>46</v>
      </c>
      <c r="C229" s="2">
        <v>0.16805555555555557</v>
      </c>
      <c r="D229" t="s">
        <v>21</v>
      </c>
      <c r="E229">
        <v>9372</v>
      </c>
      <c r="F229">
        <v>2</v>
      </c>
      <c r="G229">
        <v>5</v>
      </c>
      <c r="H229">
        <v>3</v>
      </c>
      <c r="I229">
        <v>4</v>
      </c>
      <c r="J229">
        <v>2</v>
      </c>
      <c r="K229">
        <v>1573.1268005510742</v>
      </c>
      <c r="L229">
        <v>1528.482923846575</v>
      </c>
      <c r="M229">
        <v>44.643876704499235</v>
      </c>
    </row>
    <row r="230" spans="1:13">
      <c r="A230" t="s">
        <v>29</v>
      </c>
      <c r="B230" t="s">
        <v>18</v>
      </c>
      <c r="C230" s="2">
        <v>0.20902777777777778</v>
      </c>
      <c r="D230" t="s">
        <v>21</v>
      </c>
      <c r="E230">
        <v>9600</v>
      </c>
      <c r="F230">
        <v>12</v>
      </c>
      <c r="G230">
        <v>0</v>
      </c>
      <c r="H230">
        <v>3</v>
      </c>
      <c r="I230">
        <v>5</v>
      </c>
      <c r="J230">
        <v>1</v>
      </c>
      <c r="K230">
        <v>1557.8298012368027</v>
      </c>
      <c r="L230">
        <v>1476.0588213303574</v>
      </c>
      <c r="M230">
        <v>81.770979906445291</v>
      </c>
    </row>
    <row r="231" spans="1:13">
      <c r="A231" t="s">
        <v>42</v>
      </c>
      <c r="B231" t="s">
        <v>51</v>
      </c>
      <c r="C231" s="2">
        <v>0.16805555555555557</v>
      </c>
      <c r="D231" t="s">
        <v>21</v>
      </c>
      <c r="E231">
        <v>5940</v>
      </c>
      <c r="F231">
        <v>4</v>
      </c>
      <c r="G231">
        <v>6</v>
      </c>
      <c r="H231">
        <v>3</v>
      </c>
      <c r="I231">
        <v>4</v>
      </c>
      <c r="J231">
        <v>2</v>
      </c>
      <c r="K231">
        <v>1518.3313845680625</v>
      </c>
      <c r="L231">
        <v>1532.2444311135907</v>
      </c>
      <c r="M231">
        <v>-13.913046545528232</v>
      </c>
    </row>
    <row r="232" spans="1:13">
      <c r="A232" t="s">
        <v>43</v>
      </c>
      <c r="B232" t="s">
        <v>19</v>
      </c>
      <c r="C232" s="2">
        <v>0.16875000000000001</v>
      </c>
      <c r="D232" t="s">
        <v>35</v>
      </c>
      <c r="E232">
        <v>6000</v>
      </c>
      <c r="F232">
        <v>13</v>
      </c>
      <c r="G232">
        <v>10</v>
      </c>
      <c r="H232">
        <v>2</v>
      </c>
      <c r="I232">
        <v>4</v>
      </c>
      <c r="J232">
        <v>3</v>
      </c>
      <c r="K232">
        <v>1505.7926155912699</v>
      </c>
      <c r="L232">
        <v>1473.9013709065223</v>
      </c>
      <c r="M232">
        <v>31.891244684747562</v>
      </c>
    </row>
    <row r="233" spans="1:13">
      <c r="A233" t="s">
        <v>47</v>
      </c>
      <c r="B233" t="s">
        <v>38</v>
      </c>
      <c r="C233" s="2">
        <v>0.12638888888888888</v>
      </c>
      <c r="D233" t="s">
        <v>21</v>
      </c>
      <c r="E233">
        <v>6365</v>
      </c>
      <c r="F233">
        <v>7</v>
      </c>
      <c r="G233">
        <v>3</v>
      </c>
      <c r="H233">
        <v>3</v>
      </c>
      <c r="I233">
        <v>3</v>
      </c>
      <c r="J233">
        <v>2</v>
      </c>
      <c r="K233">
        <v>1470.7128083884343</v>
      </c>
      <c r="L233">
        <v>1497.2984058620696</v>
      </c>
      <c r="M233">
        <v>-26.585597473635289</v>
      </c>
    </row>
    <row r="234" spans="1:13">
      <c r="A234" t="s">
        <v>29</v>
      </c>
      <c r="B234" t="s">
        <v>52</v>
      </c>
      <c r="C234" s="2">
        <v>8.5416666666666669E-2</v>
      </c>
      <c r="D234" t="s">
        <v>35</v>
      </c>
      <c r="E234">
        <v>9600</v>
      </c>
      <c r="F234">
        <v>12</v>
      </c>
      <c r="G234">
        <v>9</v>
      </c>
      <c r="H234">
        <v>1</v>
      </c>
      <c r="I234">
        <v>2</v>
      </c>
      <c r="J234">
        <v>3</v>
      </c>
      <c r="K234">
        <v>1566.3506440415458</v>
      </c>
      <c r="L234">
        <v>1459.6509565413828</v>
      </c>
      <c r="M234">
        <v>106.69968750016301</v>
      </c>
    </row>
    <row r="235" spans="1:13">
      <c r="A235" t="s">
        <v>33</v>
      </c>
      <c r="B235" t="s">
        <v>39</v>
      </c>
      <c r="C235" s="2">
        <v>0.25069444444444444</v>
      </c>
      <c r="D235" t="s">
        <v>21</v>
      </c>
      <c r="E235">
        <v>6292</v>
      </c>
      <c r="F235">
        <v>11</v>
      </c>
      <c r="G235">
        <v>8</v>
      </c>
      <c r="H235">
        <v>3</v>
      </c>
      <c r="I235">
        <v>6</v>
      </c>
      <c r="J235">
        <v>1</v>
      </c>
      <c r="K235">
        <v>1580.7592392743736</v>
      </c>
      <c r="L235">
        <v>1424.3581017458823</v>
      </c>
      <c r="M235">
        <v>156.40113752849129</v>
      </c>
    </row>
    <row r="236" spans="1:13">
      <c r="A236" t="s">
        <v>18</v>
      </c>
      <c r="B236" t="s">
        <v>39</v>
      </c>
      <c r="C236" s="2">
        <v>8.6805555555555552E-2</v>
      </c>
      <c r="D236" t="s">
        <v>21</v>
      </c>
      <c r="E236">
        <v>6775</v>
      </c>
      <c r="F236">
        <v>0</v>
      </c>
      <c r="G236">
        <v>8</v>
      </c>
      <c r="H236">
        <v>0</v>
      </c>
      <c r="I236">
        <v>2</v>
      </c>
      <c r="J236">
        <v>5</v>
      </c>
      <c r="K236">
        <v>1497.5379785256143</v>
      </c>
      <c r="L236">
        <v>1417.8437724619555</v>
      </c>
      <c r="M236">
        <v>79.694206063658839</v>
      </c>
    </row>
    <row r="237" spans="1:13">
      <c r="A237" t="s">
        <v>52</v>
      </c>
      <c r="B237" t="s">
        <v>42</v>
      </c>
      <c r="C237" s="2">
        <v>0.12638888888888888</v>
      </c>
      <c r="D237" t="s">
        <v>63</v>
      </c>
      <c r="E237">
        <v>15876</v>
      </c>
      <c r="F237">
        <v>9</v>
      </c>
      <c r="G237">
        <v>4</v>
      </c>
      <c r="H237">
        <v>2</v>
      </c>
      <c r="I237">
        <v>3</v>
      </c>
      <c r="J237">
        <v>2</v>
      </c>
      <c r="K237">
        <v>1491.8233743993287</v>
      </c>
      <c r="L237">
        <v>1499.5886160448792</v>
      </c>
      <c r="M237">
        <v>-7.7652416455505318</v>
      </c>
    </row>
    <row r="238" spans="1:13">
      <c r="A238" t="s">
        <v>38</v>
      </c>
      <c r="B238" t="s">
        <v>29</v>
      </c>
      <c r="C238" s="2">
        <v>0.29375000000000001</v>
      </c>
      <c r="D238" t="s">
        <v>21</v>
      </c>
      <c r="E238">
        <v>7135</v>
      </c>
      <c r="F238">
        <v>3</v>
      </c>
      <c r="G238">
        <v>12</v>
      </c>
      <c r="H238">
        <v>3</v>
      </c>
      <c r="I238">
        <v>7</v>
      </c>
      <c r="J238">
        <v>3</v>
      </c>
      <c r="K238">
        <v>1515.6839906464011</v>
      </c>
      <c r="L238">
        <v>1534.1782261835999</v>
      </c>
      <c r="M238">
        <v>-18.494235537198847</v>
      </c>
    </row>
    <row r="239" spans="1:13">
      <c r="A239" t="s">
        <v>19</v>
      </c>
      <c r="B239" t="s">
        <v>32</v>
      </c>
      <c r="C239" s="2">
        <v>0.16875000000000001</v>
      </c>
      <c r="D239" t="s">
        <v>21</v>
      </c>
      <c r="E239">
        <v>6158</v>
      </c>
      <c r="F239">
        <v>10</v>
      </c>
      <c r="G239">
        <v>2</v>
      </c>
      <c r="H239">
        <v>3</v>
      </c>
      <c r="I239">
        <v>4</v>
      </c>
      <c r="J239">
        <v>3</v>
      </c>
      <c r="K239">
        <v>1513.9558047666083</v>
      </c>
      <c r="L239">
        <v>1552.7055653094978</v>
      </c>
      <c r="M239">
        <v>-38.749760542889589</v>
      </c>
    </row>
    <row r="240" spans="1:13">
      <c r="A240" t="s">
        <v>43</v>
      </c>
      <c r="B240" t="s">
        <v>33</v>
      </c>
      <c r="C240" s="2">
        <v>8.611111111111111E-2</v>
      </c>
      <c r="D240" t="s">
        <v>21</v>
      </c>
      <c r="E240">
        <v>6000</v>
      </c>
      <c r="F240">
        <v>13</v>
      </c>
      <c r="G240">
        <v>11</v>
      </c>
      <c r="H240">
        <v>0</v>
      </c>
      <c r="I240">
        <v>2</v>
      </c>
      <c r="J240">
        <v>4</v>
      </c>
      <c r="K240">
        <v>1495.7381817311839</v>
      </c>
      <c r="L240">
        <v>1557.2735685583004</v>
      </c>
      <c r="M240">
        <v>-61.535386827116554</v>
      </c>
    </row>
    <row r="241" spans="1:13">
      <c r="A241" t="s">
        <v>46</v>
      </c>
      <c r="B241" t="s">
        <v>47</v>
      </c>
      <c r="C241" s="2">
        <v>0.16805555555555557</v>
      </c>
      <c r="D241" t="s">
        <v>21</v>
      </c>
      <c r="E241">
        <v>12000</v>
      </c>
      <c r="F241">
        <v>5</v>
      </c>
      <c r="G241">
        <v>7</v>
      </c>
      <c r="H241">
        <v>3</v>
      </c>
      <c r="I241">
        <v>4</v>
      </c>
      <c r="J241">
        <v>2</v>
      </c>
      <c r="K241">
        <v>1548.9041590881513</v>
      </c>
      <c r="L241">
        <v>1452.3272236041028</v>
      </c>
      <c r="M241">
        <v>96.57693548404859</v>
      </c>
    </row>
    <row r="242" spans="1:13">
      <c r="A242" t="s">
        <v>51</v>
      </c>
      <c r="B242" t="s">
        <v>28</v>
      </c>
      <c r="C242" s="2">
        <v>0.12638888888888888</v>
      </c>
      <c r="D242" t="s">
        <v>63</v>
      </c>
      <c r="E242">
        <v>7450</v>
      </c>
      <c r="F242">
        <v>6</v>
      </c>
      <c r="G242">
        <v>1</v>
      </c>
      <c r="H242">
        <v>2</v>
      </c>
      <c r="I242">
        <v>3</v>
      </c>
      <c r="J242">
        <v>2</v>
      </c>
      <c r="K242">
        <v>1550.987199636774</v>
      </c>
      <c r="L242">
        <v>1581.4523390436023</v>
      </c>
      <c r="M242">
        <v>-30.465139406828257</v>
      </c>
    </row>
    <row r="243" spans="1:13">
      <c r="A243" t="s">
        <v>39</v>
      </c>
      <c r="B243" t="s">
        <v>52</v>
      </c>
      <c r="C243" s="2">
        <v>0.12777777777777777</v>
      </c>
      <c r="D243" t="s">
        <v>21</v>
      </c>
      <c r="E243">
        <v>5276</v>
      </c>
      <c r="F243">
        <v>8</v>
      </c>
      <c r="G243">
        <v>9</v>
      </c>
      <c r="H243">
        <v>0</v>
      </c>
      <c r="I243">
        <v>3</v>
      </c>
      <c r="J243">
        <v>4</v>
      </c>
      <c r="K243">
        <v>1459.2644120660109</v>
      </c>
      <c r="L243">
        <v>1452.9060846890809</v>
      </c>
      <c r="M243">
        <v>6.3583273769299922</v>
      </c>
    </row>
    <row r="244" spans="1:13">
      <c r="A244" t="s">
        <v>38</v>
      </c>
      <c r="B244" t="s">
        <v>46</v>
      </c>
      <c r="C244" s="2">
        <v>0.21041666666666667</v>
      </c>
      <c r="D244" t="s">
        <v>21</v>
      </c>
      <c r="E244">
        <v>6696</v>
      </c>
      <c r="F244">
        <v>3</v>
      </c>
      <c r="G244">
        <v>5</v>
      </c>
      <c r="H244">
        <v>3</v>
      </c>
      <c r="I244">
        <v>5</v>
      </c>
      <c r="J244">
        <v>3</v>
      </c>
      <c r="K244">
        <v>1527.0707728948662</v>
      </c>
      <c r="L244">
        <v>1527.0110359538235</v>
      </c>
      <c r="M244">
        <v>5.9736941042729086E-2</v>
      </c>
    </row>
    <row r="245" spans="1:13">
      <c r="A245" t="s">
        <v>29</v>
      </c>
      <c r="B245" t="s">
        <v>51</v>
      </c>
      <c r="C245" s="2">
        <v>0.29166666666666669</v>
      </c>
      <c r="D245" t="s">
        <v>21</v>
      </c>
      <c r="E245">
        <v>9600</v>
      </c>
      <c r="F245">
        <v>12</v>
      </c>
      <c r="G245">
        <v>6</v>
      </c>
      <c r="H245">
        <v>3</v>
      </c>
      <c r="I245">
        <v>7</v>
      </c>
      <c r="J245">
        <v>0</v>
      </c>
      <c r="K245">
        <v>1552.7914439351348</v>
      </c>
      <c r="L245">
        <v>1512.7101665559974</v>
      </c>
      <c r="M245">
        <v>40.081277379137418</v>
      </c>
    </row>
    <row r="246" spans="1:13">
      <c r="A246" t="s">
        <v>18</v>
      </c>
      <c r="B246" t="s">
        <v>43</v>
      </c>
      <c r="C246" s="2">
        <v>2.0833333333333333E-3</v>
      </c>
      <c r="D246" t="s">
        <v>21</v>
      </c>
      <c r="E246">
        <v>6447</v>
      </c>
      <c r="F246">
        <v>0</v>
      </c>
      <c r="G246">
        <v>13</v>
      </c>
      <c r="H246">
        <v>0</v>
      </c>
      <c r="I246">
        <v>0</v>
      </c>
      <c r="J246">
        <v>3</v>
      </c>
      <c r="K246">
        <v>1486.1173389215589</v>
      </c>
      <c r="L246">
        <v>1458.313471228448</v>
      </c>
      <c r="M246">
        <v>27.803867693110988</v>
      </c>
    </row>
    <row r="247" spans="1:13">
      <c r="A247" t="s">
        <v>47</v>
      </c>
      <c r="B247" t="s">
        <v>33</v>
      </c>
      <c r="C247" s="2">
        <v>0.12569444444444444</v>
      </c>
      <c r="D247" t="s">
        <v>21</v>
      </c>
      <c r="E247">
        <v>6556</v>
      </c>
      <c r="F247">
        <v>7</v>
      </c>
      <c r="G247">
        <v>11</v>
      </c>
      <c r="H247">
        <v>3</v>
      </c>
      <c r="I247">
        <v>3</v>
      </c>
      <c r="J247">
        <v>1</v>
      </c>
      <c r="K247">
        <v>1474.2203467384306</v>
      </c>
      <c r="L247">
        <v>1564.6982790610364</v>
      </c>
      <c r="M247">
        <v>-90.477932322605739</v>
      </c>
    </row>
    <row r="248" spans="1:13">
      <c r="A248" t="s">
        <v>19</v>
      </c>
      <c r="B248" t="s">
        <v>28</v>
      </c>
      <c r="C248" s="2">
        <v>0.1673611111111111</v>
      </c>
      <c r="D248" t="s">
        <v>21</v>
      </c>
      <c r="E248">
        <v>7161</v>
      </c>
      <c r="F248">
        <v>10</v>
      </c>
      <c r="G248">
        <v>1</v>
      </c>
      <c r="H248">
        <v>3</v>
      </c>
      <c r="I248">
        <v>4</v>
      </c>
      <c r="J248">
        <v>1</v>
      </c>
      <c r="K248">
        <v>1525.9091534025274</v>
      </c>
      <c r="L248">
        <v>1589.7293721243789</v>
      </c>
      <c r="M248">
        <v>-63.820218721851461</v>
      </c>
    </row>
    <row r="249" spans="1:13">
      <c r="A249" t="s">
        <v>52</v>
      </c>
      <c r="B249" t="s">
        <v>38</v>
      </c>
      <c r="C249" s="2">
        <v>2.0833333333333333E-3</v>
      </c>
      <c r="D249" t="s">
        <v>21</v>
      </c>
      <c r="E249">
        <v>17001</v>
      </c>
      <c r="F249">
        <v>9</v>
      </c>
      <c r="G249">
        <v>3</v>
      </c>
      <c r="H249">
        <v>0</v>
      </c>
      <c r="I249">
        <v>0</v>
      </c>
      <c r="J249">
        <v>3</v>
      </c>
      <c r="K249">
        <v>1492.2266709551825</v>
      </c>
      <c r="L249">
        <v>1507.9303960984776</v>
      </c>
      <c r="M249">
        <v>-15.70372514329506</v>
      </c>
    </row>
    <row r="250" spans="1:13">
      <c r="A250" t="s">
        <v>28</v>
      </c>
      <c r="B250" t="s">
        <v>18</v>
      </c>
      <c r="C250" s="2">
        <v>0.29375000000000001</v>
      </c>
      <c r="D250" t="s">
        <v>21</v>
      </c>
      <c r="E250">
        <v>6547</v>
      </c>
      <c r="F250">
        <v>1</v>
      </c>
      <c r="G250">
        <v>0</v>
      </c>
      <c r="H250">
        <v>3</v>
      </c>
      <c r="I250">
        <v>7</v>
      </c>
      <c r="J250">
        <v>3</v>
      </c>
      <c r="K250">
        <v>1607.09278603499</v>
      </c>
      <c r="L250">
        <v>1446.1805478486299</v>
      </c>
      <c r="M250">
        <v>160.91223818636013</v>
      </c>
    </row>
    <row r="251" spans="1:13">
      <c r="A251" t="s">
        <v>33</v>
      </c>
      <c r="B251" t="s">
        <v>32</v>
      </c>
      <c r="C251" s="2">
        <v>0.12638888888888888</v>
      </c>
      <c r="D251" t="s">
        <v>21</v>
      </c>
      <c r="E251">
        <v>6422</v>
      </c>
      <c r="F251">
        <v>11</v>
      </c>
      <c r="G251">
        <v>2</v>
      </c>
      <c r="H251">
        <v>3</v>
      </c>
      <c r="I251">
        <v>3</v>
      </c>
      <c r="J251">
        <v>2</v>
      </c>
      <c r="K251">
        <v>1581.3632589591268</v>
      </c>
      <c r="L251">
        <v>1540.7522166735787</v>
      </c>
      <c r="M251">
        <v>40.611042285548137</v>
      </c>
    </row>
    <row r="252" spans="1:13">
      <c r="A252" t="s">
        <v>42</v>
      </c>
      <c r="B252" t="s">
        <v>39</v>
      </c>
      <c r="C252" s="2">
        <v>8.4027777777777785E-2</v>
      </c>
      <c r="D252" t="s">
        <v>35</v>
      </c>
      <c r="E252">
        <v>5026</v>
      </c>
      <c r="F252">
        <v>4</v>
      </c>
      <c r="G252">
        <v>8</v>
      </c>
      <c r="H252">
        <v>2</v>
      </c>
      <c r="I252">
        <v>2</v>
      </c>
      <c r="J252">
        <v>1</v>
      </c>
      <c r="K252">
        <v>1538.5059057551271</v>
      </c>
      <c r="L252">
        <v>1419.9438257999093</v>
      </c>
      <c r="M252">
        <v>118.56207995521777</v>
      </c>
    </row>
    <row r="253" spans="1:13">
      <c r="A253" t="s">
        <v>43</v>
      </c>
      <c r="B253" t="s">
        <v>47</v>
      </c>
      <c r="C253" s="2">
        <v>0.16666666666666666</v>
      </c>
      <c r="D253" t="s">
        <v>21</v>
      </c>
      <c r="E253">
        <v>6000</v>
      </c>
      <c r="F253">
        <v>13</v>
      </c>
      <c r="G253">
        <v>7</v>
      </c>
      <c r="H253">
        <v>3</v>
      </c>
      <c r="I253">
        <v>4</v>
      </c>
      <c r="J253">
        <v>0</v>
      </c>
      <c r="K253">
        <v>1498.250262301377</v>
      </c>
      <c r="L253">
        <v>1457.5553668403402</v>
      </c>
      <c r="M253">
        <v>40.694895461036822</v>
      </c>
    </row>
    <row r="254" spans="1:13">
      <c r="A254" t="s">
        <v>46</v>
      </c>
      <c r="B254" t="s">
        <v>29</v>
      </c>
      <c r="C254" s="2">
        <v>0.12638888888888888</v>
      </c>
      <c r="D254" t="s">
        <v>21</v>
      </c>
      <c r="E254">
        <v>12000</v>
      </c>
      <c r="F254">
        <v>5</v>
      </c>
      <c r="G254">
        <v>12</v>
      </c>
      <c r="H254">
        <v>3</v>
      </c>
      <c r="I254">
        <v>3</v>
      </c>
      <c r="J254">
        <v>2</v>
      </c>
      <c r="K254">
        <v>1546.1514127502121</v>
      </c>
      <c r="L254">
        <v>1532.5013628534703</v>
      </c>
      <c r="M254">
        <v>13.650049896741848</v>
      </c>
    </row>
    <row r="255" spans="1:13">
      <c r="A255" t="s">
        <v>51</v>
      </c>
      <c r="B255" t="s">
        <v>19</v>
      </c>
      <c r="C255" s="2">
        <v>4.3055555555555555E-2</v>
      </c>
      <c r="D255" t="s">
        <v>35</v>
      </c>
      <c r="E255">
        <v>7450</v>
      </c>
      <c r="F255">
        <v>6</v>
      </c>
      <c r="G255">
        <v>10</v>
      </c>
      <c r="H255">
        <v>1</v>
      </c>
      <c r="I255">
        <v>1</v>
      </c>
      <c r="J255">
        <v>2</v>
      </c>
      <c r="K255">
        <v>1533.0002476376619</v>
      </c>
      <c r="L255">
        <v>1508.5457394919163</v>
      </c>
      <c r="M255">
        <v>24.454508145745649</v>
      </c>
    </row>
    <row r="256" spans="1:13">
      <c r="A256" t="s">
        <v>39</v>
      </c>
      <c r="B256" t="s">
        <v>46</v>
      </c>
      <c r="C256" s="2">
        <v>0.12847222222222221</v>
      </c>
      <c r="D256" t="s">
        <v>21</v>
      </c>
      <c r="E256">
        <v>3551</v>
      </c>
      <c r="F256">
        <v>8</v>
      </c>
      <c r="G256">
        <v>5</v>
      </c>
      <c r="H256">
        <v>0</v>
      </c>
      <c r="I256">
        <v>3</v>
      </c>
      <c r="J256">
        <v>5</v>
      </c>
      <c r="K256">
        <v>1462.4390377937932</v>
      </c>
      <c r="L256">
        <v>1526.6216550696215</v>
      </c>
      <c r="M256">
        <v>-64.182617275828306</v>
      </c>
    </row>
    <row r="257" spans="1:13">
      <c r="A257" t="s">
        <v>18</v>
      </c>
      <c r="B257" t="s">
        <v>51</v>
      </c>
      <c r="C257" s="2">
        <v>0.16666666666666666</v>
      </c>
      <c r="D257" t="s">
        <v>21</v>
      </c>
      <c r="E257">
        <v>6185</v>
      </c>
      <c r="F257">
        <v>0</v>
      </c>
      <c r="G257">
        <v>6</v>
      </c>
      <c r="H257">
        <v>3</v>
      </c>
      <c r="I257">
        <v>4</v>
      </c>
      <c r="J257">
        <v>0</v>
      </c>
      <c r="K257">
        <v>1469.7797628005462</v>
      </c>
      <c r="L257">
        <v>1503.1598461707367</v>
      </c>
      <c r="M257">
        <v>-33.380083370190505</v>
      </c>
    </row>
    <row r="258" spans="1:13">
      <c r="A258" t="s">
        <v>47</v>
      </c>
      <c r="B258" t="s">
        <v>28</v>
      </c>
      <c r="C258" s="2">
        <v>0.16875000000000001</v>
      </c>
      <c r="D258" t="s">
        <v>63</v>
      </c>
      <c r="E258">
        <v>5844</v>
      </c>
      <c r="F258">
        <v>7</v>
      </c>
      <c r="G258">
        <v>1</v>
      </c>
      <c r="H258">
        <v>2</v>
      </c>
      <c r="I258">
        <v>4</v>
      </c>
      <c r="J258">
        <v>3</v>
      </c>
      <c r="K258">
        <v>1477.8630934862379</v>
      </c>
      <c r="L258">
        <v>1583.4935710830737</v>
      </c>
      <c r="M258">
        <v>-105.63047759683582</v>
      </c>
    </row>
    <row r="259" spans="1:13">
      <c r="A259" t="s">
        <v>32</v>
      </c>
      <c r="B259" t="s">
        <v>43</v>
      </c>
      <c r="C259" s="2">
        <v>0.16875000000000001</v>
      </c>
      <c r="D259" t="s">
        <v>63</v>
      </c>
      <c r="E259">
        <v>9372</v>
      </c>
      <c r="F259">
        <v>2</v>
      </c>
      <c r="G259">
        <v>13</v>
      </c>
      <c r="H259">
        <v>2</v>
      </c>
      <c r="I259">
        <v>4</v>
      </c>
      <c r="J259">
        <v>3</v>
      </c>
      <c r="K259">
        <v>1561.0575320986861</v>
      </c>
      <c r="L259">
        <v>1477.9425356554793</v>
      </c>
      <c r="M259">
        <v>83.114996443206792</v>
      </c>
    </row>
    <row r="260" spans="1:13">
      <c r="A260" t="s">
        <v>38</v>
      </c>
      <c r="B260" t="s">
        <v>42</v>
      </c>
      <c r="C260" s="2">
        <v>0.12569444444444444</v>
      </c>
      <c r="D260" t="s">
        <v>21</v>
      </c>
      <c r="E260">
        <v>5513</v>
      </c>
      <c r="F260">
        <v>3</v>
      </c>
      <c r="G260">
        <v>4</v>
      </c>
      <c r="H260">
        <v>3</v>
      </c>
      <c r="I260">
        <v>3</v>
      </c>
      <c r="J260">
        <v>1</v>
      </c>
      <c r="K260">
        <v>1546.6224726997714</v>
      </c>
      <c r="L260">
        <v>1496.0106937612431</v>
      </c>
      <c r="M260">
        <v>50.611778938528232</v>
      </c>
    </row>
    <row r="261" spans="1:13">
      <c r="A261" t="s">
        <v>19</v>
      </c>
      <c r="B261" t="s">
        <v>52</v>
      </c>
      <c r="C261" s="2">
        <v>8.5416666666666669E-2</v>
      </c>
      <c r="D261" t="s">
        <v>21</v>
      </c>
      <c r="E261">
        <v>4218</v>
      </c>
      <c r="F261">
        <v>10</v>
      </c>
      <c r="G261">
        <v>9</v>
      </c>
      <c r="H261">
        <v>0</v>
      </c>
      <c r="I261">
        <v>2</v>
      </c>
      <c r="J261">
        <v>3</v>
      </c>
      <c r="K261">
        <v>1538.3861409588415</v>
      </c>
      <c r="L261">
        <v>1453.5345943538887</v>
      </c>
      <c r="M261">
        <v>84.851546604952773</v>
      </c>
    </row>
    <row r="262" spans="1:13">
      <c r="A262" t="s">
        <v>29</v>
      </c>
      <c r="B262" t="s">
        <v>33</v>
      </c>
      <c r="C262" s="2">
        <v>8.6805555555555552E-2</v>
      </c>
      <c r="D262" t="s">
        <v>21</v>
      </c>
      <c r="E262">
        <v>9246</v>
      </c>
      <c r="F262">
        <v>12</v>
      </c>
      <c r="G262">
        <v>11</v>
      </c>
      <c r="H262">
        <v>0</v>
      </c>
      <c r="I262">
        <v>2</v>
      </c>
      <c r="J262">
        <v>5</v>
      </c>
      <c r="K262">
        <v>1552.0311205340608</v>
      </c>
      <c r="L262">
        <v>1561.0579435340194</v>
      </c>
      <c r="M262">
        <v>-9.0268229999585401</v>
      </c>
    </row>
    <row r="263" spans="1:13">
      <c r="A263" t="s">
        <v>32</v>
      </c>
      <c r="B263" t="s">
        <v>51</v>
      </c>
      <c r="C263" s="2">
        <v>0.12638888888888888</v>
      </c>
      <c r="D263" t="s">
        <v>63</v>
      </c>
      <c r="E263">
        <v>9372</v>
      </c>
      <c r="F263">
        <v>2</v>
      </c>
      <c r="G263">
        <v>6</v>
      </c>
      <c r="H263">
        <v>2</v>
      </c>
      <c r="I263">
        <v>3</v>
      </c>
      <c r="J263">
        <v>2</v>
      </c>
      <c r="K263">
        <v>1549.5405591920144</v>
      </c>
      <c r="L263">
        <v>1491.3555904675811</v>
      </c>
      <c r="M263">
        <v>58.184968724433247</v>
      </c>
    </row>
    <row r="264" spans="1:13">
      <c r="A264" t="s">
        <v>38</v>
      </c>
      <c r="B264" t="s">
        <v>33</v>
      </c>
      <c r="C264" s="2">
        <v>8.4027777777777785E-2</v>
      </c>
      <c r="D264" t="s">
        <v>35</v>
      </c>
      <c r="E264">
        <v>6023</v>
      </c>
      <c r="F264">
        <v>3</v>
      </c>
      <c r="G264">
        <v>11</v>
      </c>
      <c r="H264">
        <v>2</v>
      </c>
      <c r="I264">
        <v>2</v>
      </c>
      <c r="J264">
        <v>1</v>
      </c>
      <c r="K264">
        <v>1556.0299130236438</v>
      </c>
      <c r="L264">
        <v>1569.9393619369077</v>
      </c>
      <c r="M264">
        <v>-13.909448913263986</v>
      </c>
    </row>
    <row r="265" spans="1:13">
      <c r="A265" t="s">
        <v>42</v>
      </c>
      <c r="B265" t="s">
        <v>43</v>
      </c>
      <c r="C265" s="2">
        <v>8.4027777777777785E-2</v>
      </c>
      <c r="D265" t="s">
        <v>21</v>
      </c>
      <c r="E265">
        <v>4291</v>
      </c>
      <c r="F265">
        <v>4</v>
      </c>
      <c r="G265">
        <v>13</v>
      </c>
      <c r="H265">
        <v>3</v>
      </c>
      <c r="I265">
        <v>2</v>
      </c>
      <c r="J265">
        <v>1</v>
      </c>
      <c r="K265">
        <v>1516.6032534373708</v>
      </c>
      <c r="L265">
        <v>1489.4595085621511</v>
      </c>
      <c r="M265">
        <v>27.143744875219681</v>
      </c>
    </row>
    <row r="266" spans="1:13">
      <c r="A266" t="s">
        <v>39</v>
      </c>
      <c r="B266" t="s">
        <v>47</v>
      </c>
      <c r="C266" s="2">
        <v>4.3055555555555555E-2</v>
      </c>
      <c r="D266" t="s">
        <v>21</v>
      </c>
      <c r="E266">
        <v>5021</v>
      </c>
      <c r="F266">
        <v>8</v>
      </c>
      <c r="G266">
        <v>7</v>
      </c>
      <c r="H266">
        <v>0</v>
      </c>
      <c r="I266">
        <v>1</v>
      </c>
      <c r="J266">
        <v>2</v>
      </c>
      <c r="K266">
        <v>1455.0853267831483</v>
      </c>
      <c r="L266">
        <v>1441.5799358703059</v>
      </c>
      <c r="M266">
        <v>13.505390912842358</v>
      </c>
    </row>
    <row r="267" spans="1:13">
      <c r="A267" t="s">
        <v>52</v>
      </c>
      <c r="B267" t="s">
        <v>18</v>
      </c>
      <c r="C267" s="2">
        <v>6.9444444444444447E-4</v>
      </c>
      <c r="D267" t="s">
        <v>63</v>
      </c>
      <c r="E267">
        <v>15087</v>
      </c>
      <c r="F267">
        <v>9</v>
      </c>
      <c r="G267">
        <v>0</v>
      </c>
      <c r="H267">
        <v>1</v>
      </c>
      <c r="I267">
        <v>0</v>
      </c>
      <c r="J267">
        <v>1</v>
      </c>
      <c r="K267">
        <v>1495.1003616016039</v>
      </c>
      <c r="L267">
        <v>1451.5840185037018</v>
      </c>
      <c r="M267">
        <v>43.516343097902109</v>
      </c>
    </row>
    <row r="268" spans="1:13">
      <c r="A268" t="s">
        <v>28</v>
      </c>
      <c r="B268" t="s">
        <v>29</v>
      </c>
      <c r="C268" s="2">
        <v>0.20902777777777778</v>
      </c>
      <c r="D268" t="s">
        <v>21</v>
      </c>
      <c r="E268">
        <v>6547</v>
      </c>
      <c r="F268">
        <v>1</v>
      </c>
      <c r="G268">
        <v>12</v>
      </c>
      <c r="H268">
        <v>3</v>
      </c>
      <c r="I268">
        <v>5</v>
      </c>
      <c r="J268">
        <v>1</v>
      </c>
      <c r="K268">
        <v>1619.7767286990056</v>
      </c>
      <c r="L268">
        <v>1513.1497021311725</v>
      </c>
      <c r="M268">
        <v>106.62702656783313</v>
      </c>
    </row>
    <row r="269" spans="1:13">
      <c r="A269" t="s">
        <v>18</v>
      </c>
      <c r="B269" t="s">
        <v>42</v>
      </c>
      <c r="C269" s="2">
        <v>0.16875000000000001</v>
      </c>
      <c r="D269" t="s">
        <v>35</v>
      </c>
      <c r="E269">
        <v>6553</v>
      </c>
      <c r="F269">
        <v>0</v>
      </c>
      <c r="G269">
        <v>4</v>
      </c>
      <c r="H269">
        <v>2</v>
      </c>
      <c r="I269">
        <v>4</v>
      </c>
      <c r="J269">
        <v>3</v>
      </c>
      <c r="K269">
        <v>1481.9728539882965</v>
      </c>
      <c r="L269">
        <v>1496.6854612162972</v>
      </c>
      <c r="M269">
        <v>-14.712607228000707</v>
      </c>
    </row>
    <row r="270" spans="1:13">
      <c r="A270" t="s">
        <v>47</v>
      </c>
      <c r="B270" t="s">
        <v>52</v>
      </c>
      <c r="C270" s="2">
        <v>4.3055555555555555E-2</v>
      </c>
      <c r="D270" t="s">
        <v>21</v>
      </c>
      <c r="E270">
        <v>6556</v>
      </c>
      <c r="F270">
        <v>7</v>
      </c>
      <c r="G270">
        <v>9</v>
      </c>
      <c r="H270">
        <v>0</v>
      </c>
      <c r="I270">
        <v>1</v>
      </c>
      <c r="J270">
        <v>2</v>
      </c>
      <c r="K270">
        <v>1481.1055392191495</v>
      </c>
      <c r="L270">
        <v>1464.7115261170093</v>
      </c>
      <c r="M270">
        <v>16.394013102140207</v>
      </c>
    </row>
    <row r="271" spans="1:13">
      <c r="A271" t="s">
        <v>19</v>
      </c>
      <c r="B271" t="s">
        <v>38</v>
      </c>
      <c r="C271" s="2">
        <v>4.3749999999999997E-2</v>
      </c>
      <c r="D271" t="s">
        <v>21</v>
      </c>
      <c r="E271">
        <v>4441</v>
      </c>
      <c r="F271">
        <v>10</v>
      </c>
      <c r="G271">
        <v>3</v>
      </c>
      <c r="H271">
        <v>0</v>
      </c>
      <c r="I271">
        <v>1</v>
      </c>
      <c r="J271">
        <v>3</v>
      </c>
      <c r="K271">
        <v>1526.8203737111262</v>
      </c>
      <c r="L271">
        <v>1517.2870425888623</v>
      </c>
      <c r="M271">
        <v>9.5333311222639168</v>
      </c>
    </row>
    <row r="272" spans="1:13">
      <c r="A272" t="s">
        <v>29</v>
      </c>
      <c r="B272" t="s">
        <v>32</v>
      </c>
      <c r="C272" s="2">
        <v>2.7777777777777779E-3</v>
      </c>
      <c r="D272" t="s">
        <v>21</v>
      </c>
      <c r="E272">
        <v>9600</v>
      </c>
      <c r="F272">
        <v>12</v>
      </c>
      <c r="G272">
        <v>2</v>
      </c>
      <c r="H272">
        <v>0</v>
      </c>
      <c r="I272">
        <v>0</v>
      </c>
      <c r="J272">
        <v>4</v>
      </c>
      <c r="K272">
        <v>1535.3201272480126</v>
      </c>
      <c r="L272">
        <v>1508.7311054528011</v>
      </c>
      <c r="M272">
        <v>26.589021795211465</v>
      </c>
    </row>
    <row r="273" spans="1:13">
      <c r="A273" t="s">
        <v>43</v>
      </c>
      <c r="B273" t="s">
        <v>28</v>
      </c>
      <c r="C273" s="2">
        <v>0.12569444444444444</v>
      </c>
      <c r="D273" t="s">
        <v>21</v>
      </c>
      <c r="E273">
        <v>6000</v>
      </c>
      <c r="F273">
        <v>13</v>
      </c>
      <c r="G273">
        <v>1</v>
      </c>
      <c r="H273">
        <v>3</v>
      </c>
      <c r="I273">
        <v>3</v>
      </c>
      <c r="J273">
        <v>1</v>
      </c>
      <c r="K273">
        <v>1509.3773007832247</v>
      </c>
      <c r="L273">
        <v>1597.6063035821655</v>
      </c>
      <c r="M273">
        <v>-88.229002798940883</v>
      </c>
    </row>
    <row r="274" spans="1:13">
      <c r="A274" t="s">
        <v>51</v>
      </c>
      <c r="B274" t="s">
        <v>46</v>
      </c>
      <c r="C274" s="2">
        <v>8.5416666666666669E-2</v>
      </c>
      <c r="D274" t="s">
        <v>35</v>
      </c>
      <c r="E274">
        <v>7450</v>
      </c>
      <c r="F274">
        <v>6</v>
      </c>
      <c r="G274">
        <v>5</v>
      </c>
      <c r="H274">
        <v>1</v>
      </c>
      <c r="I274">
        <v>2</v>
      </c>
      <c r="J274">
        <v>3</v>
      </c>
      <c r="K274">
        <v>1532.1650442067944</v>
      </c>
      <c r="L274">
        <v>1533.9753660802664</v>
      </c>
      <c r="M274">
        <v>-1.8103218734720485</v>
      </c>
    </row>
    <row r="275" spans="1:13">
      <c r="A275" t="s">
        <v>46</v>
      </c>
      <c r="B275" t="s">
        <v>19</v>
      </c>
      <c r="C275" s="2">
        <v>4.1666666666666664E-2</v>
      </c>
      <c r="D275" t="s">
        <v>21</v>
      </c>
      <c r="E275">
        <v>12000</v>
      </c>
      <c r="F275">
        <v>5</v>
      </c>
      <c r="G275">
        <v>10</v>
      </c>
      <c r="H275">
        <v>3</v>
      </c>
      <c r="I275">
        <v>1</v>
      </c>
      <c r="J275">
        <v>0</v>
      </c>
      <c r="K275">
        <v>1563.0623412194698</v>
      </c>
      <c r="L275">
        <v>1487.4087713463853</v>
      </c>
      <c r="M275">
        <v>75.653569873084507</v>
      </c>
    </row>
    <row r="276" spans="1:13">
      <c r="A276" t="s">
        <v>39</v>
      </c>
      <c r="B276" t="s">
        <v>43</v>
      </c>
      <c r="C276" s="2">
        <v>8.4027777777777785E-2</v>
      </c>
      <c r="D276" t="s">
        <v>63</v>
      </c>
      <c r="E276">
        <v>3496</v>
      </c>
      <c r="F276">
        <v>8</v>
      </c>
      <c r="G276">
        <v>13</v>
      </c>
      <c r="H276">
        <v>2</v>
      </c>
      <c r="I276">
        <v>2</v>
      </c>
      <c r="J276">
        <v>1</v>
      </c>
      <c r="K276">
        <v>1445.5597234343047</v>
      </c>
      <c r="L276">
        <v>1492.6546672720583</v>
      </c>
      <c r="M276">
        <v>-47.09494383775359</v>
      </c>
    </row>
    <row r="277" spans="1:13">
      <c r="A277" t="s">
        <v>51</v>
      </c>
      <c r="B277" t="s">
        <v>33</v>
      </c>
      <c r="C277" s="2">
        <v>8.5416666666666669E-2</v>
      </c>
      <c r="D277" t="s">
        <v>21</v>
      </c>
      <c r="E277">
        <v>6930</v>
      </c>
      <c r="F277">
        <v>6</v>
      </c>
      <c r="G277">
        <v>11</v>
      </c>
      <c r="H277">
        <v>0</v>
      </c>
      <c r="I277">
        <v>2</v>
      </c>
      <c r="J277">
        <v>3</v>
      </c>
      <c r="K277">
        <v>1533.0780690675911</v>
      </c>
      <c r="L277">
        <v>1578.6822323716892</v>
      </c>
      <c r="M277">
        <v>-45.604163304098165</v>
      </c>
    </row>
    <row r="278" spans="1:13">
      <c r="A278" t="s">
        <v>29</v>
      </c>
      <c r="B278" t="s">
        <v>38</v>
      </c>
      <c r="C278" s="2">
        <v>2.0833333333333333E-3</v>
      </c>
      <c r="D278" t="s">
        <v>21</v>
      </c>
      <c r="E278">
        <v>9600</v>
      </c>
      <c r="F278">
        <v>12</v>
      </c>
      <c r="G278">
        <v>3</v>
      </c>
      <c r="H278">
        <v>0</v>
      </c>
      <c r="I278">
        <v>0</v>
      </c>
      <c r="J278">
        <v>3</v>
      </c>
      <c r="K278">
        <v>1525.418299938495</v>
      </c>
      <c r="L278">
        <v>1526.6986449536032</v>
      </c>
      <c r="M278">
        <v>-1.2803450151081961</v>
      </c>
    </row>
    <row r="279" spans="1:13">
      <c r="A279" t="s">
        <v>47</v>
      </c>
      <c r="B279" t="s">
        <v>18</v>
      </c>
      <c r="C279" s="2">
        <v>0.12638888888888888</v>
      </c>
      <c r="D279" t="s">
        <v>35</v>
      </c>
      <c r="E279">
        <v>5817</v>
      </c>
      <c r="F279">
        <v>7</v>
      </c>
      <c r="G279">
        <v>0</v>
      </c>
      <c r="H279">
        <v>2</v>
      </c>
      <c r="I279">
        <v>3</v>
      </c>
      <c r="J279">
        <v>2</v>
      </c>
      <c r="K279">
        <v>1471.496950932793</v>
      </c>
      <c r="L279">
        <v>1443.2527283263823</v>
      </c>
      <c r="M279">
        <v>28.244222606410631</v>
      </c>
    </row>
    <row r="280" spans="1:13">
      <c r="A280" t="s">
        <v>52</v>
      </c>
      <c r="B280" t="s">
        <v>33</v>
      </c>
      <c r="C280" s="2">
        <v>4.4444444444444446E-2</v>
      </c>
      <c r="D280" t="s">
        <v>21</v>
      </c>
      <c r="E280">
        <v>14854</v>
      </c>
      <c r="F280">
        <v>9</v>
      </c>
      <c r="G280">
        <v>11</v>
      </c>
      <c r="H280">
        <v>0</v>
      </c>
      <c r="I280">
        <v>1</v>
      </c>
      <c r="J280">
        <v>4</v>
      </c>
      <c r="K280">
        <v>1504.3201144033658</v>
      </c>
      <c r="L280">
        <v>1586.5398786212402</v>
      </c>
      <c r="M280">
        <v>-82.219764217874399</v>
      </c>
    </row>
    <row r="281" spans="1:13">
      <c r="A281" t="s">
        <v>19</v>
      </c>
      <c r="B281" t="s">
        <v>29</v>
      </c>
      <c r="C281" s="2">
        <v>8.5416666666666669E-2</v>
      </c>
      <c r="D281" t="s">
        <v>35</v>
      </c>
      <c r="E281">
        <v>4467</v>
      </c>
      <c r="F281">
        <v>10</v>
      </c>
      <c r="G281">
        <v>12</v>
      </c>
      <c r="H281">
        <v>1</v>
      </c>
      <c r="I281">
        <v>2</v>
      </c>
      <c r="J281">
        <v>3</v>
      </c>
      <c r="K281">
        <v>1508.7152758284703</v>
      </c>
      <c r="L281">
        <v>1486.3161959030242</v>
      </c>
      <c r="M281">
        <v>22.399079925446131</v>
      </c>
    </row>
    <row r="282" spans="1:13">
      <c r="A282" t="s">
        <v>42</v>
      </c>
      <c r="B282" t="s">
        <v>46</v>
      </c>
      <c r="C282" s="2">
        <v>4.3749999999999997E-2</v>
      </c>
      <c r="D282" t="s">
        <v>21</v>
      </c>
      <c r="E282">
        <v>6100</v>
      </c>
      <c r="F282">
        <v>4</v>
      </c>
      <c r="G282">
        <v>5</v>
      </c>
      <c r="H282">
        <v>0</v>
      </c>
      <c r="I282">
        <v>1</v>
      </c>
      <c r="J282">
        <v>3</v>
      </c>
      <c r="K282">
        <v>1535.4055868782114</v>
      </c>
      <c r="L282">
        <v>1541.7558367373847</v>
      </c>
      <c r="M282">
        <v>-6.3502498591733456</v>
      </c>
    </row>
    <row r="283" spans="1:13">
      <c r="A283" t="s">
        <v>43</v>
      </c>
      <c r="B283" t="s">
        <v>38</v>
      </c>
      <c r="C283" s="2">
        <v>0.125</v>
      </c>
      <c r="D283" t="s">
        <v>21</v>
      </c>
      <c r="E283">
        <v>5820</v>
      </c>
      <c r="F283">
        <v>13</v>
      </c>
      <c r="G283">
        <v>3</v>
      </c>
      <c r="H283">
        <v>3</v>
      </c>
      <c r="I283">
        <v>3</v>
      </c>
      <c r="J283">
        <v>0</v>
      </c>
      <c r="K283">
        <v>1530.471412602506</v>
      </c>
      <c r="L283">
        <v>1535.800748989074</v>
      </c>
      <c r="M283">
        <v>-5.3293363865680021</v>
      </c>
    </row>
    <row r="284" spans="1:13">
      <c r="A284" t="s">
        <v>51</v>
      </c>
      <c r="B284" t="s">
        <v>39</v>
      </c>
      <c r="C284" s="2">
        <v>8.611111111111111E-2</v>
      </c>
      <c r="D284" t="s">
        <v>21</v>
      </c>
      <c r="E284">
        <v>7251</v>
      </c>
      <c r="F284">
        <v>6</v>
      </c>
      <c r="G284">
        <v>8</v>
      </c>
      <c r="H284">
        <v>0</v>
      </c>
      <c r="I284">
        <v>2</v>
      </c>
      <c r="J284">
        <v>4</v>
      </c>
      <c r="K284">
        <v>1525.2204228180401</v>
      </c>
      <c r="L284">
        <v>1407.742978103857</v>
      </c>
      <c r="M284">
        <v>117.47744471418309</v>
      </c>
    </row>
    <row r="285" spans="1:13">
      <c r="A285" t="s">
        <v>39</v>
      </c>
      <c r="B285" t="s">
        <v>28</v>
      </c>
      <c r="C285" s="2">
        <v>8.6805555555555552E-2</v>
      </c>
      <c r="D285" t="s">
        <v>21</v>
      </c>
      <c r="E285">
        <v>4391</v>
      </c>
      <c r="F285">
        <v>8</v>
      </c>
      <c r="G285">
        <v>1</v>
      </c>
      <c r="H285">
        <v>0</v>
      </c>
      <c r="I285">
        <v>2</v>
      </c>
      <c r="J285">
        <v>5</v>
      </c>
      <c r="K285">
        <v>1450.2088927376042</v>
      </c>
      <c r="L285">
        <v>1584.3289370933319</v>
      </c>
      <c r="M285">
        <v>-134.12004435572771</v>
      </c>
    </row>
    <row r="286" spans="1:13">
      <c r="A286" t="s">
        <v>18</v>
      </c>
      <c r="B286" t="s">
        <v>19</v>
      </c>
      <c r="C286" s="2">
        <v>8.6805555555555552E-2</v>
      </c>
      <c r="D286" t="s">
        <v>21</v>
      </c>
      <c r="E286">
        <v>6495</v>
      </c>
      <c r="F286">
        <v>0</v>
      </c>
      <c r="G286">
        <v>10</v>
      </c>
      <c r="H286">
        <v>0</v>
      </c>
      <c r="I286">
        <v>2</v>
      </c>
      <c r="J286">
        <v>5</v>
      </c>
      <c r="K286">
        <v>1483.2021934209081</v>
      </c>
      <c r="L286">
        <v>1478.9340129985355</v>
      </c>
      <c r="M286">
        <v>4.2681804223725521</v>
      </c>
    </row>
    <row r="287" spans="1:13">
      <c r="A287" t="s">
        <v>32</v>
      </c>
      <c r="B287" t="s">
        <v>47</v>
      </c>
      <c r="C287" s="2">
        <v>0.25069444444444444</v>
      </c>
      <c r="D287" t="s">
        <v>21</v>
      </c>
      <c r="E287">
        <v>9372</v>
      </c>
      <c r="F287">
        <v>2</v>
      </c>
      <c r="G287">
        <v>7</v>
      </c>
      <c r="H287">
        <v>3</v>
      </c>
      <c r="I287">
        <v>6</v>
      </c>
      <c r="J287">
        <v>1</v>
      </c>
      <c r="K287">
        <v>1548.6329327623187</v>
      </c>
      <c r="L287">
        <v>1431.5474858382672</v>
      </c>
      <c r="M287">
        <v>117.08544692405144</v>
      </c>
    </row>
    <row r="288" spans="1:13">
      <c r="A288" t="s">
        <v>38</v>
      </c>
      <c r="B288" t="s">
        <v>51</v>
      </c>
      <c r="C288" s="2">
        <v>0.1673611111111111</v>
      </c>
      <c r="D288" t="s">
        <v>21</v>
      </c>
      <c r="E288">
        <v>7135</v>
      </c>
      <c r="F288">
        <v>3</v>
      </c>
      <c r="G288">
        <v>6</v>
      </c>
      <c r="H288">
        <v>3</v>
      </c>
      <c r="I288">
        <v>4</v>
      </c>
      <c r="J288">
        <v>1</v>
      </c>
      <c r="K288">
        <v>1554.7873793045767</v>
      </c>
      <c r="L288">
        <v>1482.7545081842929</v>
      </c>
      <c r="M288">
        <v>72.032871120283744</v>
      </c>
    </row>
    <row r="289" spans="1:13">
      <c r="A289" t="s">
        <v>46</v>
      </c>
      <c r="B289" t="s">
        <v>52</v>
      </c>
      <c r="C289" s="2">
        <v>0.12777777777777777</v>
      </c>
      <c r="D289" t="s">
        <v>35</v>
      </c>
      <c r="E289">
        <v>12000</v>
      </c>
      <c r="F289">
        <v>5</v>
      </c>
      <c r="G289">
        <v>9</v>
      </c>
      <c r="H289">
        <v>1</v>
      </c>
      <c r="I289">
        <v>3</v>
      </c>
      <c r="J289">
        <v>4</v>
      </c>
      <c r="K289">
        <v>1580.7133932943045</v>
      </c>
      <c r="L289">
        <v>1467.4422344018576</v>
      </c>
      <c r="M289">
        <v>113.27115889244692</v>
      </c>
    </row>
    <row r="290" spans="1:13">
      <c r="A290" t="s">
        <v>33</v>
      </c>
      <c r="B290" t="s">
        <v>43</v>
      </c>
      <c r="C290" s="2">
        <v>0.16875000000000001</v>
      </c>
      <c r="D290" t="s">
        <v>63</v>
      </c>
      <c r="E290">
        <v>6233</v>
      </c>
      <c r="F290">
        <v>11</v>
      </c>
      <c r="G290">
        <v>13</v>
      </c>
      <c r="H290">
        <v>2</v>
      </c>
      <c r="I290">
        <v>4</v>
      </c>
      <c r="J290">
        <v>3</v>
      </c>
      <c r="K290">
        <v>1623.4177586227484</v>
      </c>
      <c r="L290">
        <v>1511.4847822870033</v>
      </c>
      <c r="M290">
        <v>111.93297633574502</v>
      </c>
    </row>
    <row r="291" spans="1:13">
      <c r="A291" t="s">
        <v>29</v>
      </c>
      <c r="B291" t="s">
        <v>42</v>
      </c>
      <c r="C291" s="2">
        <v>0.12777777777777777</v>
      </c>
      <c r="D291" t="s">
        <v>35</v>
      </c>
      <c r="E291">
        <v>9600</v>
      </c>
      <c r="F291">
        <v>12</v>
      </c>
      <c r="G291">
        <v>4</v>
      </c>
      <c r="H291">
        <v>1</v>
      </c>
      <c r="I291">
        <v>3</v>
      </c>
      <c r="J291">
        <v>4</v>
      </c>
      <c r="K291">
        <v>1516.097458732959</v>
      </c>
      <c r="L291">
        <v>1496.4480303212915</v>
      </c>
      <c r="M291">
        <v>19.649428411667486</v>
      </c>
    </row>
    <row r="292" spans="1:13">
      <c r="A292" t="s">
        <v>18</v>
      </c>
      <c r="B292" t="s">
        <v>46</v>
      </c>
      <c r="C292" s="2">
        <v>8.611111111111111E-2</v>
      </c>
      <c r="D292" t="s">
        <v>21</v>
      </c>
      <c r="E292">
        <v>6500</v>
      </c>
      <c r="F292">
        <v>0</v>
      </c>
      <c r="G292">
        <v>5</v>
      </c>
      <c r="H292">
        <v>0</v>
      </c>
      <c r="I292">
        <v>2</v>
      </c>
      <c r="J292">
        <v>4</v>
      </c>
      <c r="K292">
        <v>1473.9414635358567</v>
      </c>
      <c r="L292">
        <v>1548.3615184397843</v>
      </c>
      <c r="M292">
        <v>-74.420054903927621</v>
      </c>
    </row>
    <row r="293" spans="1:13">
      <c r="A293" t="s">
        <v>32</v>
      </c>
      <c r="B293" t="s">
        <v>33</v>
      </c>
      <c r="C293" s="2">
        <v>0.12638888888888888</v>
      </c>
      <c r="D293" t="s">
        <v>63</v>
      </c>
      <c r="E293">
        <v>9372</v>
      </c>
      <c r="F293">
        <v>2</v>
      </c>
      <c r="G293">
        <v>11</v>
      </c>
      <c r="H293">
        <v>2</v>
      </c>
      <c r="I293">
        <v>3</v>
      </c>
      <c r="J293">
        <v>2</v>
      </c>
      <c r="K293">
        <v>1556.1776176111971</v>
      </c>
      <c r="L293">
        <v>1581.1023021268547</v>
      </c>
      <c r="M293">
        <v>-24.924684515657646</v>
      </c>
    </row>
    <row r="294" spans="1:13">
      <c r="A294" t="s">
        <v>19</v>
      </c>
      <c r="B294" t="s">
        <v>51</v>
      </c>
      <c r="C294" s="2">
        <v>4.3055555555555555E-2</v>
      </c>
      <c r="D294" t="s">
        <v>21</v>
      </c>
      <c r="E294">
        <v>5031</v>
      </c>
      <c r="F294">
        <v>10</v>
      </c>
      <c r="G294">
        <v>6</v>
      </c>
      <c r="H294">
        <v>0</v>
      </c>
      <c r="I294">
        <v>1</v>
      </c>
      <c r="J294">
        <v>2</v>
      </c>
      <c r="K294">
        <v>1518.194742883587</v>
      </c>
      <c r="L294">
        <v>1473.958443493</v>
      </c>
      <c r="M294">
        <v>44.236299390586964</v>
      </c>
    </row>
    <row r="295" spans="1:13">
      <c r="A295" t="s">
        <v>29</v>
      </c>
      <c r="B295" t="s">
        <v>47</v>
      </c>
      <c r="C295" s="2">
        <v>8.4027777777777785E-2</v>
      </c>
      <c r="D295" t="s">
        <v>35</v>
      </c>
      <c r="E295">
        <v>9600</v>
      </c>
      <c r="F295">
        <v>12</v>
      </c>
      <c r="G295">
        <v>7</v>
      </c>
      <c r="H295">
        <v>2</v>
      </c>
      <c r="I295">
        <v>2</v>
      </c>
      <c r="J295">
        <v>1</v>
      </c>
      <c r="K295">
        <v>1516.3952840271877</v>
      </c>
      <c r="L295">
        <v>1424.0028009893888</v>
      </c>
      <c r="M295">
        <v>92.392483037798911</v>
      </c>
    </row>
    <row r="296" spans="1:13">
      <c r="A296" t="s">
        <v>42</v>
      </c>
      <c r="B296" t="s">
        <v>52</v>
      </c>
      <c r="C296" s="2">
        <v>1.3888888888888889E-3</v>
      </c>
      <c r="D296" t="s">
        <v>21</v>
      </c>
      <c r="E296">
        <v>5560</v>
      </c>
      <c r="F296">
        <v>4</v>
      </c>
      <c r="G296">
        <v>9</v>
      </c>
      <c r="H296">
        <v>0</v>
      </c>
      <c r="I296">
        <v>0</v>
      </c>
      <c r="J296">
        <v>2</v>
      </c>
      <c r="K296">
        <v>1526.1502050270628</v>
      </c>
      <c r="L296">
        <v>1469.7941092563779</v>
      </c>
      <c r="M296">
        <v>56.356095770684988</v>
      </c>
    </row>
    <row r="297" spans="1:13">
      <c r="A297" t="s">
        <v>43</v>
      </c>
      <c r="B297" t="s">
        <v>39</v>
      </c>
      <c r="C297" s="2">
        <v>8.5416666666666669E-2</v>
      </c>
      <c r="D297" t="s">
        <v>35</v>
      </c>
      <c r="E297">
        <v>5905</v>
      </c>
      <c r="F297">
        <v>13</v>
      </c>
      <c r="G297">
        <v>8</v>
      </c>
      <c r="H297">
        <v>1</v>
      </c>
      <c r="I297">
        <v>2</v>
      </c>
      <c r="J297">
        <v>3</v>
      </c>
      <c r="K297">
        <v>1553.8002387828969</v>
      </c>
      <c r="L297">
        <v>1414.6100591618667</v>
      </c>
      <c r="M297">
        <v>139.19017962103021</v>
      </c>
    </row>
    <row r="298" spans="1:13">
      <c r="A298" t="s">
        <v>39</v>
      </c>
      <c r="B298" t="s">
        <v>19</v>
      </c>
      <c r="C298" s="2">
        <v>0.16805555555555557</v>
      </c>
      <c r="D298" t="s">
        <v>21</v>
      </c>
      <c r="E298">
        <v>4422</v>
      </c>
      <c r="F298">
        <v>8</v>
      </c>
      <c r="G298">
        <v>10</v>
      </c>
      <c r="H298">
        <v>3</v>
      </c>
      <c r="I298">
        <v>4</v>
      </c>
      <c r="J298">
        <v>2</v>
      </c>
      <c r="K298">
        <v>1447.65326765993</v>
      </c>
      <c r="L298">
        <v>1477.7852184180031</v>
      </c>
      <c r="M298">
        <v>-30.131950758073117</v>
      </c>
    </row>
    <row r="299" spans="1:13">
      <c r="A299" t="s">
        <v>52</v>
      </c>
      <c r="B299" t="s">
        <v>29</v>
      </c>
      <c r="C299" s="2">
        <v>0.12569444444444444</v>
      </c>
      <c r="D299" t="s">
        <v>21</v>
      </c>
      <c r="E299">
        <v>16501</v>
      </c>
      <c r="F299">
        <v>9</v>
      </c>
      <c r="G299">
        <v>12</v>
      </c>
      <c r="H299">
        <v>3</v>
      </c>
      <c r="I299">
        <v>3</v>
      </c>
      <c r="J299">
        <v>1</v>
      </c>
      <c r="K299">
        <v>1510.5512468925172</v>
      </c>
      <c r="L299">
        <v>1474.6185424397934</v>
      </c>
      <c r="M299">
        <v>35.932704452723783</v>
      </c>
    </row>
    <row r="300" spans="1:13">
      <c r="A300" t="s">
        <v>47</v>
      </c>
      <c r="B300" t="s">
        <v>42</v>
      </c>
      <c r="C300" s="2">
        <v>0.21111111111111111</v>
      </c>
      <c r="D300" t="s">
        <v>21</v>
      </c>
      <c r="E300">
        <v>6033</v>
      </c>
      <c r="F300">
        <v>7</v>
      </c>
      <c r="G300">
        <v>4</v>
      </c>
      <c r="H300">
        <v>3</v>
      </c>
      <c r="I300">
        <v>5</v>
      </c>
      <c r="J300">
        <v>4</v>
      </c>
      <c r="K300">
        <v>1465.7795425767831</v>
      </c>
      <c r="L300">
        <v>1485.3930673909235</v>
      </c>
      <c r="M300">
        <v>-19.613524814140419</v>
      </c>
    </row>
    <row r="301" spans="1:13">
      <c r="A301" t="s">
        <v>33</v>
      </c>
      <c r="B301" t="s">
        <v>28</v>
      </c>
      <c r="C301" s="2">
        <v>4.4444444444444446E-2</v>
      </c>
      <c r="D301" t="s">
        <v>21</v>
      </c>
      <c r="E301">
        <v>6614</v>
      </c>
      <c r="F301">
        <v>11</v>
      </c>
      <c r="G301">
        <v>1</v>
      </c>
      <c r="H301">
        <v>0</v>
      </c>
      <c r="I301">
        <v>1</v>
      </c>
      <c r="J301">
        <v>4</v>
      </c>
      <c r="K301">
        <v>1619.5344814772341</v>
      </c>
      <c r="L301">
        <v>1589.9277706690693</v>
      </c>
      <c r="M301">
        <v>29.606710808164735</v>
      </c>
    </row>
    <row r="302" spans="1:13">
      <c r="A302" t="s">
        <v>46</v>
      </c>
      <c r="B302" t="s">
        <v>32</v>
      </c>
      <c r="C302" s="2">
        <v>0.12777777777777777</v>
      </c>
      <c r="D302" t="s">
        <v>63</v>
      </c>
      <c r="E302">
        <v>12000</v>
      </c>
      <c r="F302">
        <v>5</v>
      </c>
      <c r="G302">
        <v>2</v>
      </c>
      <c r="H302">
        <v>1</v>
      </c>
      <c r="I302">
        <v>3</v>
      </c>
      <c r="J302">
        <v>4</v>
      </c>
      <c r="K302">
        <v>1585.4434049039583</v>
      </c>
      <c r="L302">
        <v>1517.7454382608178</v>
      </c>
      <c r="M302">
        <v>67.697966643140489</v>
      </c>
    </row>
    <row r="303" spans="1:13">
      <c r="A303" t="s">
        <v>51</v>
      </c>
      <c r="B303" t="s">
        <v>43</v>
      </c>
      <c r="C303" s="2">
        <v>0.12569444444444444</v>
      </c>
      <c r="D303" t="s">
        <v>21</v>
      </c>
      <c r="E303">
        <v>7429</v>
      </c>
      <c r="F303">
        <v>6</v>
      </c>
      <c r="G303">
        <v>13</v>
      </c>
      <c r="H303">
        <v>3</v>
      </c>
      <c r="I303">
        <v>3</v>
      </c>
      <c r="J303">
        <v>1</v>
      </c>
      <c r="K303">
        <v>1514.3679679585839</v>
      </c>
      <c r="L303">
        <v>1520.7570302848337</v>
      </c>
      <c r="M303">
        <v>-6.3890623262498139</v>
      </c>
    </row>
    <row r="304" spans="1:13">
      <c r="A304" t="s">
        <v>38</v>
      </c>
      <c r="B304" t="s">
        <v>18</v>
      </c>
      <c r="C304" s="2">
        <v>0.12777777777777777</v>
      </c>
      <c r="D304" t="s">
        <v>35</v>
      </c>
      <c r="E304">
        <v>5938</v>
      </c>
      <c r="F304">
        <v>3</v>
      </c>
      <c r="G304">
        <v>0</v>
      </c>
      <c r="H304">
        <v>1</v>
      </c>
      <c r="I304">
        <v>3</v>
      </c>
      <c r="J304">
        <v>4</v>
      </c>
      <c r="K304">
        <v>1563.5834439958696</v>
      </c>
      <c r="L304">
        <v>1436.8595770716827</v>
      </c>
      <c r="M304">
        <v>126.72386692418695</v>
      </c>
    </row>
    <row r="305" spans="1:13">
      <c r="A305" t="s">
        <v>47</v>
      </c>
      <c r="B305" t="s">
        <v>39</v>
      </c>
      <c r="C305" s="2">
        <v>0.25208333333333333</v>
      </c>
      <c r="D305" t="s">
        <v>21</v>
      </c>
      <c r="E305">
        <v>6131</v>
      </c>
      <c r="F305">
        <v>7</v>
      </c>
      <c r="G305">
        <v>8</v>
      </c>
      <c r="H305">
        <v>3</v>
      </c>
      <c r="I305">
        <v>6</v>
      </c>
      <c r="J305">
        <v>3</v>
      </c>
      <c r="K305">
        <v>1477.1979067796753</v>
      </c>
      <c r="L305">
        <v>1429.3669277924384</v>
      </c>
      <c r="M305">
        <v>47.830978987236904</v>
      </c>
    </row>
    <row r="306" spans="1:13">
      <c r="A306" t="s">
        <v>28</v>
      </c>
      <c r="B306" t="s">
        <v>51</v>
      </c>
      <c r="C306" s="2">
        <v>0.1673611111111111</v>
      </c>
      <c r="D306" t="s">
        <v>21</v>
      </c>
      <c r="E306">
        <v>6076</v>
      </c>
      <c r="F306">
        <v>1</v>
      </c>
      <c r="G306">
        <v>6</v>
      </c>
      <c r="H306">
        <v>3</v>
      </c>
      <c r="I306">
        <v>4</v>
      </c>
      <c r="J306">
        <v>1</v>
      </c>
      <c r="K306">
        <v>1629.9164509010247</v>
      </c>
      <c r="L306">
        <v>1495.411516361861</v>
      </c>
      <c r="M306">
        <v>134.50493453916374</v>
      </c>
    </row>
    <row r="307" spans="1:13">
      <c r="A307" t="s">
        <v>32</v>
      </c>
      <c r="B307" t="s">
        <v>18</v>
      </c>
      <c r="C307" s="2">
        <v>0.16875000000000001</v>
      </c>
      <c r="D307" t="s">
        <v>35</v>
      </c>
      <c r="E307">
        <v>9372</v>
      </c>
      <c r="F307">
        <v>2</v>
      </c>
      <c r="G307">
        <v>0</v>
      </c>
      <c r="H307">
        <v>2</v>
      </c>
      <c r="I307">
        <v>4</v>
      </c>
      <c r="J307">
        <v>3</v>
      </c>
      <c r="K307">
        <v>1548.8262348791081</v>
      </c>
      <c r="L307">
        <v>1439.5737543974681</v>
      </c>
      <c r="M307">
        <v>109.25248048164008</v>
      </c>
    </row>
    <row r="308" spans="1:13">
      <c r="A308" t="s">
        <v>19</v>
      </c>
      <c r="B308" t="s">
        <v>46</v>
      </c>
      <c r="C308" s="2">
        <v>8.611111111111111E-2</v>
      </c>
      <c r="D308" t="s">
        <v>21</v>
      </c>
      <c r="E308">
        <v>6296</v>
      </c>
      <c r="F308">
        <v>10</v>
      </c>
      <c r="G308">
        <v>5</v>
      </c>
      <c r="H308">
        <v>0</v>
      </c>
      <c r="I308">
        <v>2</v>
      </c>
      <c r="J308">
        <v>4</v>
      </c>
      <c r="K308">
        <v>1496.0715582854946</v>
      </c>
      <c r="L308">
        <v>1554.3626082856679</v>
      </c>
      <c r="M308">
        <v>-58.2910500001733</v>
      </c>
    </row>
    <row r="309" spans="1:13">
      <c r="A309" t="s">
        <v>33</v>
      </c>
      <c r="B309" t="s">
        <v>42</v>
      </c>
      <c r="C309" s="2">
        <v>0.29375000000000001</v>
      </c>
      <c r="D309" t="s">
        <v>21</v>
      </c>
      <c r="E309">
        <v>5072</v>
      </c>
      <c r="F309">
        <v>11</v>
      </c>
      <c r="G309">
        <v>4</v>
      </c>
      <c r="H309">
        <v>3</v>
      </c>
      <c r="I309">
        <v>7</v>
      </c>
      <c r="J309">
        <v>3</v>
      </c>
      <c r="K309">
        <v>1609.5458012452787</v>
      </c>
      <c r="L309">
        <v>1473.9747031880313</v>
      </c>
      <c r="M309">
        <v>135.57109805724735</v>
      </c>
    </row>
    <row r="310" spans="1:13">
      <c r="A310" t="s">
        <v>43</v>
      </c>
      <c r="B310" t="s">
        <v>52</v>
      </c>
      <c r="C310" s="2">
        <v>0.12777777777777777</v>
      </c>
      <c r="D310" t="s">
        <v>35</v>
      </c>
      <c r="E310">
        <v>6000</v>
      </c>
      <c r="F310">
        <v>13</v>
      </c>
      <c r="G310">
        <v>9</v>
      </c>
      <c r="H310">
        <v>1</v>
      </c>
      <c r="I310">
        <v>3</v>
      </c>
      <c r="J310">
        <v>4</v>
      </c>
      <c r="K310">
        <v>1539.7134818815566</v>
      </c>
      <c r="L310">
        <v>1490.3805065265608</v>
      </c>
      <c r="M310">
        <v>49.332975354995824</v>
      </c>
    </row>
    <row r="311" spans="1:13">
      <c r="A311" t="s">
        <v>18</v>
      </c>
      <c r="B311" t="s">
        <v>33</v>
      </c>
      <c r="C311" s="2">
        <v>0.12638888888888888</v>
      </c>
      <c r="D311" t="s">
        <v>21</v>
      </c>
      <c r="E311">
        <v>6775</v>
      </c>
      <c r="F311">
        <v>0</v>
      </c>
      <c r="G311">
        <v>11</v>
      </c>
      <c r="H311">
        <v>3</v>
      </c>
      <c r="I311">
        <v>3</v>
      </c>
      <c r="J311">
        <v>2</v>
      </c>
      <c r="K311">
        <v>1481.8160671281457</v>
      </c>
      <c r="L311">
        <v>1586.5974085286762</v>
      </c>
      <c r="M311">
        <v>-104.78134140053044</v>
      </c>
    </row>
    <row r="312" spans="1:13">
      <c r="A312" t="s">
        <v>38</v>
      </c>
      <c r="B312" t="s">
        <v>32</v>
      </c>
      <c r="C312" s="2">
        <v>0.12847222222222221</v>
      </c>
      <c r="D312" t="s">
        <v>21</v>
      </c>
      <c r="E312">
        <v>7135</v>
      </c>
      <c r="F312">
        <v>3</v>
      </c>
      <c r="G312">
        <v>2</v>
      </c>
      <c r="H312">
        <v>0</v>
      </c>
      <c r="I312">
        <v>3</v>
      </c>
      <c r="J312">
        <v>5</v>
      </c>
      <c r="K312">
        <v>1560.8692666700842</v>
      </c>
      <c r="L312">
        <v>1506.5839221484305</v>
      </c>
      <c r="M312">
        <v>54.285344521653769</v>
      </c>
    </row>
    <row r="313" spans="1:13">
      <c r="A313" t="s">
        <v>42</v>
      </c>
      <c r="B313" t="s">
        <v>28</v>
      </c>
      <c r="C313" s="2">
        <v>0.12777777777777777</v>
      </c>
      <c r="D313" t="s">
        <v>21</v>
      </c>
      <c r="E313">
        <v>6025</v>
      </c>
      <c r="F313">
        <v>4</v>
      </c>
      <c r="G313">
        <v>1</v>
      </c>
      <c r="H313">
        <v>0</v>
      </c>
      <c r="I313">
        <v>3</v>
      </c>
      <c r="J313">
        <v>4</v>
      </c>
      <c r="K313">
        <v>1496.9230959046338</v>
      </c>
      <c r="L313">
        <v>1606.9961025259252</v>
      </c>
      <c r="M313">
        <v>-110.07300662129137</v>
      </c>
    </row>
    <row r="314" spans="1:13">
      <c r="A314" t="s">
        <v>47</v>
      </c>
      <c r="B314" t="s">
        <v>46</v>
      </c>
      <c r="C314" s="2">
        <v>4.5138888888888888E-2</v>
      </c>
      <c r="D314" t="s">
        <v>21</v>
      </c>
      <c r="E314">
        <v>6382</v>
      </c>
      <c r="F314">
        <v>7</v>
      </c>
      <c r="G314">
        <v>5</v>
      </c>
      <c r="H314">
        <v>0</v>
      </c>
      <c r="I314">
        <v>1</v>
      </c>
      <c r="J314">
        <v>5</v>
      </c>
      <c r="K314">
        <v>1486.6851400651969</v>
      </c>
      <c r="L314">
        <v>1561.8747128950602</v>
      </c>
      <c r="M314">
        <v>-75.189572829863209</v>
      </c>
    </row>
    <row r="315" spans="1:13">
      <c r="A315" t="s">
        <v>28</v>
      </c>
      <c r="B315" t="s">
        <v>52</v>
      </c>
      <c r="C315" s="2">
        <v>8.4027777777777785E-2</v>
      </c>
      <c r="D315" t="s">
        <v>21</v>
      </c>
      <c r="E315">
        <v>6547</v>
      </c>
      <c r="F315">
        <v>1</v>
      </c>
      <c r="G315">
        <v>9</v>
      </c>
      <c r="H315">
        <v>3</v>
      </c>
      <c r="I315">
        <v>2</v>
      </c>
      <c r="J315">
        <v>1</v>
      </c>
      <c r="K315">
        <v>1643.1695857110738</v>
      </c>
      <c r="L315">
        <v>1490.936380680321</v>
      </c>
      <c r="M315">
        <v>152.23320503075274</v>
      </c>
    </row>
    <row r="316" spans="1:13">
      <c r="A316" t="s">
        <v>32</v>
      </c>
      <c r="B316" t="s">
        <v>19</v>
      </c>
      <c r="C316" s="2">
        <v>0.12638888888888888</v>
      </c>
      <c r="D316" t="s">
        <v>35</v>
      </c>
      <c r="E316">
        <v>9372</v>
      </c>
      <c r="F316">
        <v>2</v>
      </c>
      <c r="G316">
        <v>10</v>
      </c>
      <c r="H316">
        <v>2</v>
      </c>
      <c r="I316">
        <v>3</v>
      </c>
      <c r="J316">
        <v>2</v>
      </c>
      <c r="K316">
        <v>1547.2817743885796</v>
      </c>
      <c r="L316">
        <v>1458.5594536761023</v>
      </c>
      <c r="M316">
        <v>88.722320712477313</v>
      </c>
    </row>
    <row r="317" spans="1:13">
      <c r="A317" t="s">
        <v>51</v>
      </c>
      <c r="B317" t="s">
        <v>29</v>
      </c>
      <c r="C317" s="2">
        <v>4.4444444444444446E-2</v>
      </c>
      <c r="D317" t="s">
        <v>21</v>
      </c>
      <c r="E317">
        <v>7371</v>
      </c>
      <c r="F317">
        <v>6</v>
      </c>
      <c r="G317">
        <v>12</v>
      </c>
      <c r="H317">
        <v>0</v>
      </c>
      <c r="I317">
        <v>1</v>
      </c>
      <c r="J317">
        <v>4</v>
      </c>
      <c r="K317">
        <v>1518.3318647369606</v>
      </c>
      <c r="L317">
        <v>1464.7892828057497</v>
      </c>
      <c r="M317">
        <v>53.542581931210862</v>
      </c>
    </row>
    <row r="318" spans="1:13">
      <c r="A318" t="s">
        <v>39</v>
      </c>
      <c r="B318" t="s">
        <v>42</v>
      </c>
      <c r="C318" s="2">
        <v>8.6805555555555552E-2</v>
      </c>
      <c r="D318" t="s">
        <v>21</v>
      </c>
      <c r="E318">
        <v>4153</v>
      </c>
      <c r="F318">
        <v>8</v>
      </c>
      <c r="G318">
        <v>4</v>
      </c>
      <c r="H318">
        <v>0</v>
      </c>
      <c r="I318">
        <v>2</v>
      </c>
      <c r="J318">
        <v>5</v>
      </c>
      <c r="K318">
        <v>1449.8796945069168</v>
      </c>
      <c r="L318">
        <v>1460.7496127194852</v>
      </c>
      <c r="M318">
        <v>-10.869918212568336</v>
      </c>
    </row>
    <row r="319" spans="1:13">
      <c r="A319" t="s">
        <v>46</v>
      </c>
      <c r="B319" t="s">
        <v>51</v>
      </c>
      <c r="C319" s="2">
        <v>8.611111111111111E-2</v>
      </c>
      <c r="D319" t="s">
        <v>21</v>
      </c>
      <c r="E319">
        <v>12000</v>
      </c>
      <c r="F319">
        <v>5</v>
      </c>
      <c r="G319">
        <v>6</v>
      </c>
      <c r="H319">
        <v>0</v>
      </c>
      <c r="I319">
        <v>2</v>
      </c>
      <c r="J319">
        <v>4</v>
      </c>
      <c r="K319">
        <v>1598.9363500045067</v>
      </c>
      <c r="L319">
        <v>1477.6552899521782</v>
      </c>
      <c r="M319">
        <v>121.28106005232848</v>
      </c>
    </row>
    <row r="320" spans="1:13">
      <c r="A320" t="s">
        <v>33</v>
      </c>
      <c r="B320" t="s">
        <v>38</v>
      </c>
      <c r="C320" s="2">
        <v>0.20902777777777778</v>
      </c>
      <c r="D320" t="s">
        <v>21</v>
      </c>
      <c r="E320">
        <v>5602</v>
      </c>
      <c r="F320">
        <v>11</v>
      </c>
      <c r="G320">
        <v>3</v>
      </c>
      <c r="H320">
        <v>3</v>
      </c>
      <c r="I320">
        <v>5</v>
      </c>
      <c r="J320">
        <v>1</v>
      </c>
      <c r="K320">
        <v>1602.9016489784196</v>
      </c>
      <c r="L320">
        <v>1520.1714144299351</v>
      </c>
      <c r="M320">
        <v>82.730234548484532</v>
      </c>
    </row>
    <row r="321" spans="1:13">
      <c r="A321" t="s">
        <v>43</v>
      </c>
      <c r="B321" t="s">
        <v>18</v>
      </c>
      <c r="C321" s="2">
        <v>0.25208333333333333</v>
      </c>
      <c r="D321" t="s">
        <v>21</v>
      </c>
      <c r="E321">
        <v>6000</v>
      </c>
      <c r="F321">
        <v>13</v>
      </c>
      <c r="G321">
        <v>0</v>
      </c>
      <c r="H321">
        <v>3</v>
      </c>
      <c r="I321">
        <v>6</v>
      </c>
      <c r="J321">
        <v>3</v>
      </c>
      <c r="K321">
        <v>1539.1576077277964</v>
      </c>
      <c r="L321">
        <v>1465.5118266784023</v>
      </c>
      <c r="M321">
        <v>73.645781049394145</v>
      </c>
    </row>
    <row r="322" spans="1:13">
      <c r="A322" t="s">
        <v>52</v>
      </c>
      <c r="B322" t="s">
        <v>39</v>
      </c>
      <c r="C322" s="2">
        <v>0.20833333333333334</v>
      </c>
      <c r="D322" t="s">
        <v>21</v>
      </c>
      <c r="E322">
        <v>17031</v>
      </c>
      <c r="F322">
        <v>9</v>
      </c>
      <c r="G322">
        <v>8</v>
      </c>
      <c r="H322">
        <v>3</v>
      </c>
      <c r="I322">
        <v>5</v>
      </c>
      <c r="J322">
        <v>0</v>
      </c>
      <c r="K322">
        <v>1514.3162265786</v>
      </c>
      <c r="L322">
        <v>1411.0506293349604</v>
      </c>
      <c r="M322">
        <v>103.2655972436396</v>
      </c>
    </row>
    <row r="323" spans="1:13">
      <c r="A323" t="s">
        <v>19</v>
      </c>
      <c r="B323" t="s">
        <v>47</v>
      </c>
      <c r="C323" s="2">
        <v>0.12638888888888888</v>
      </c>
      <c r="D323" t="s">
        <v>35</v>
      </c>
      <c r="E323">
        <v>6189</v>
      </c>
      <c r="F323">
        <v>10</v>
      </c>
      <c r="G323">
        <v>7</v>
      </c>
      <c r="H323">
        <v>2</v>
      </c>
      <c r="I323">
        <v>3</v>
      </c>
      <c r="J323">
        <v>2</v>
      </c>
      <c r="K323">
        <v>1500.2337056734125</v>
      </c>
      <c r="L323">
        <v>1449.6235029557504</v>
      </c>
      <c r="M323">
        <v>50.610202717662105</v>
      </c>
    </row>
    <row r="324" spans="1:13">
      <c r="A324" t="s">
        <v>28</v>
      </c>
      <c r="B324" t="s">
        <v>32</v>
      </c>
      <c r="C324" s="2">
        <v>0.20972222222222223</v>
      </c>
      <c r="D324" t="s">
        <v>21</v>
      </c>
      <c r="E324">
        <v>6547</v>
      </c>
      <c r="F324">
        <v>1</v>
      </c>
      <c r="G324">
        <v>2</v>
      </c>
      <c r="H324">
        <v>3</v>
      </c>
      <c r="I324">
        <v>5</v>
      </c>
      <c r="J324">
        <v>2</v>
      </c>
      <c r="K324">
        <v>1649.7897398127948</v>
      </c>
      <c r="L324">
        <v>1505.6075223912694</v>
      </c>
      <c r="M324">
        <v>144.18221742152537</v>
      </c>
    </row>
    <row r="325" spans="1:13">
      <c r="A325" t="s">
        <v>18</v>
      </c>
      <c r="B325" t="s">
        <v>29</v>
      </c>
      <c r="C325" s="2">
        <v>0.12638888888888888</v>
      </c>
      <c r="D325" t="s">
        <v>35</v>
      </c>
      <c r="E325">
        <v>6093</v>
      </c>
      <c r="F325">
        <v>0</v>
      </c>
      <c r="G325">
        <v>12</v>
      </c>
      <c r="H325">
        <v>2</v>
      </c>
      <c r="I325">
        <v>3</v>
      </c>
      <c r="J325">
        <v>2</v>
      </c>
      <c r="K325">
        <v>1486.7614864954398</v>
      </c>
      <c r="L325">
        <v>1475.4658575905321</v>
      </c>
      <c r="M325">
        <v>11.295628904907744</v>
      </c>
    </row>
    <row r="326" spans="1:13">
      <c r="A326" t="s">
        <v>52</v>
      </c>
      <c r="B326" t="s">
        <v>19</v>
      </c>
      <c r="C326" s="2">
        <v>4.3055555555555555E-2</v>
      </c>
      <c r="D326" t="s">
        <v>35</v>
      </c>
      <c r="E326">
        <v>14789</v>
      </c>
      <c r="F326">
        <v>9</v>
      </c>
      <c r="G326">
        <v>10</v>
      </c>
      <c r="H326">
        <v>1</v>
      </c>
      <c r="I326">
        <v>1</v>
      </c>
      <c r="J326">
        <v>2</v>
      </c>
      <c r="K326">
        <v>1522.2381846535959</v>
      </c>
      <c r="L326">
        <v>1459.6411912052836</v>
      </c>
      <c r="M326">
        <v>62.596993448312332</v>
      </c>
    </row>
    <row r="327" spans="1:13">
      <c r="A327" t="s">
        <v>28</v>
      </c>
      <c r="B327" t="s">
        <v>43</v>
      </c>
      <c r="C327" s="2">
        <v>0.16875000000000001</v>
      </c>
      <c r="D327" t="s">
        <v>21</v>
      </c>
      <c r="E327">
        <v>6130</v>
      </c>
      <c r="F327">
        <v>1</v>
      </c>
      <c r="G327">
        <v>13</v>
      </c>
      <c r="H327">
        <v>3</v>
      </c>
      <c r="I327">
        <v>4</v>
      </c>
      <c r="J327">
        <v>3</v>
      </c>
      <c r="K327">
        <v>1656.6167320000022</v>
      </c>
      <c r="L327">
        <v>1517.9079479107588</v>
      </c>
      <c r="M327">
        <v>138.70878408924341</v>
      </c>
    </row>
    <row r="328" spans="1:13">
      <c r="A328" t="s">
        <v>33</v>
      </c>
      <c r="B328" t="s">
        <v>47</v>
      </c>
      <c r="C328" s="2">
        <v>0.12777777777777777</v>
      </c>
      <c r="D328" t="s">
        <v>63</v>
      </c>
      <c r="E328">
        <v>4922</v>
      </c>
      <c r="F328">
        <v>11</v>
      </c>
      <c r="G328">
        <v>7</v>
      </c>
      <c r="H328">
        <v>1</v>
      </c>
      <c r="I328">
        <v>3</v>
      </c>
      <c r="J328">
        <v>4</v>
      </c>
      <c r="K328">
        <v>1611.3954973793773</v>
      </c>
      <c r="L328">
        <v>1460.2160174238793</v>
      </c>
      <c r="M328">
        <v>151.17947995549798</v>
      </c>
    </row>
    <row r="329" spans="1:13">
      <c r="A329" t="s">
        <v>42</v>
      </c>
      <c r="B329" t="s">
        <v>38</v>
      </c>
      <c r="C329" s="2">
        <v>0.1673611111111111</v>
      </c>
      <c r="D329" t="s">
        <v>21</v>
      </c>
      <c r="E329">
        <v>4086</v>
      </c>
      <c r="F329">
        <v>4</v>
      </c>
      <c r="G329">
        <v>3</v>
      </c>
      <c r="H329">
        <v>3</v>
      </c>
      <c r="I329">
        <v>4</v>
      </c>
      <c r="J329">
        <v>1</v>
      </c>
      <c r="K329">
        <v>1499.5786778914417</v>
      </c>
      <c r="L329">
        <v>1511.6775660289775</v>
      </c>
      <c r="M329">
        <v>-12.098888137535823</v>
      </c>
    </row>
    <row r="330" spans="1:13">
      <c r="A330" t="s">
        <v>46</v>
      </c>
      <c r="B330" t="s">
        <v>39</v>
      </c>
      <c r="C330" s="2">
        <v>8.4027777777777785E-2</v>
      </c>
      <c r="D330" t="s">
        <v>21</v>
      </c>
      <c r="E330">
        <v>11263</v>
      </c>
      <c r="F330">
        <v>5</v>
      </c>
      <c r="G330">
        <v>8</v>
      </c>
      <c r="H330">
        <v>3</v>
      </c>
      <c r="I330">
        <v>2</v>
      </c>
      <c r="J330">
        <v>1</v>
      </c>
      <c r="K330">
        <v>1586.3678964293085</v>
      </c>
      <c r="L330">
        <v>1403.1286712599644</v>
      </c>
      <c r="M330">
        <v>183.23922516934408</v>
      </c>
    </row>
    <row r="331" spans="1:13">
      <c r="A331" t="s">
        <v>51</v>
      </c>
      <c r="B331" t="s">
        <v>32</v>
      </c>
      <c r="C331" s="2">
        <v>4.3749999999999997E-2</v>
      </c>
      <c r="D331" t="s">
        <v>21</v>
      </c>
      <c r="E331">
        <v>7194</v>
      </c>
      <c r="F331">
        <v>6</v>
      </c>
      <c r="G331">
        <v>2</v>
      </c>
      <c r="H331">
        <v>0</v>
      </c>
      <c r="I331">
        <v>1</v>
      </c>
      <c r="J331">
        <v>3</v>
      </c>
      <c r="K331">
        <v>1520.2237435273764</v>
      </c>
      <c r="L331">
        <v>1498.780530204062</v>
      </c>
      <c r="M331">
        <v>21.443213323314467</v>
      </c>
    </row>
    <row r="332" spans="1:13">
      <c r="A332" t="s">
        <v>39</v>
      </c>
      <c r="B332" t="s">
        <v>33</v>
      </c>
      <c r="C332" s="2">
        <v>6.9444444444444447E-4</v>
      </c>
      <c r="D332" t="s">
        <v>21</v>
      </c>
      <c r="E332">
        <v>4235</v>
      </c>
      <c r="F332">
        <v>8</v>
      </c>
      <c r="G332">
        <v>11</v>
      </c>
      <c r="H332">
        <v>0</v>
      </c>
      <c r="I332">
        <v>0</v>
      </c>
      <c r="J332">
        <v>1</v>
      </c>
      <c r="K332">
        <v>1427.2738811257566</v>
      </c>
      <c r="L332">
        <v>1578.0425430599414</v>
      </c>
      <c r="M332">
        <v>-150.76866193418482</v>
      </c>
    </row>
    <row r="333" spans="1:13">
      <c r="A333" t="s">
        <v>18</v>
      </c>
      <c r="B333" t="s">
        <v>28</v>
      </c>
      <c r="C333" s="2">
        <v>8.6805555555555552E-2</v>
      </c>
      <c r="D333" t="s">
        <v>21</v>
      </c>
      <c r="E333">
        <v>6765</v>
      </c>
      <c r="F333">
        <v>0</v>
      </c>
      <c r="G333">
        <v>1</v>
      </c>
      <c r="H333">
        <v>0</v>
      </c>
      <c r="I333">
        <v>2</v>
      </c>
      <c r="J333">
        <v>5</v>
      </c>
      <c r="K333">
        <v>1477.2993220754056</v>
      </c>
      <c r="L333">
        <v>1633.5861012839839</v>
      </c>
      <c r="M333">
        <v>-156.28677920857831</v>
      </c>
    </row>
    <row r="334" spans="1:13">
      <c r="A334" t="s">
        <v>47</v>
      </c>
      <c r="B334" t="s">
        <v>51</v>
      </c>
      <c r="C334" s="2">
        <v>8.5416666666666669E-2</v>
      </c>
      <c r="D334" t="s">
        <v>21</v>
      </c>
      <c r="E334">
        <v>6497</v>
      </c>
      <c r="F334">
        <v>7</v>
      </c>
      <c r="G334">
        <v>6</v>
      </c>
      <c r="H334">
        <v>0</v>
      </c>
      <c r="I334">
        <v>2</v>
      </c>
      <c r="J334">
        <v>3</v>
      </c>
      <c r="K334">
        <v>1493.5689717433152</v>
      </c>
      <c r="L334">
        <v>1480.4699778622703</v>
      </c>
      <c r="M334">
        <v>13.098993881044862</v>
      </c>
    </row>
    <row r="335" spans="1:13">
      <c r="A335" t="s">
        <v>38</v>
      </c>
      <c r="B335" t="s">
        <v>52</v>
      </c>
      <c r="C335" s="2">
        <v>0.16875000000000001</v>
      </c>
      <c r="D335" t="s">
        <v>35</v>
      </c>
      <c r="E335">
        <v>7135</v>
      </c>
      <c r="F335">
        <v>3</v>
      </c>
      <c r="G335">
        <v>9</v>
      </c>
      <c r="H335">
        <v>2</v>
      </c>
      <c r="I335">
        <v>4</v>
      </c>
      <c r="J335">
        <v>3</v>
      </c>
      <c r="K335">
        <v>1530.4717581821517</v>
      </c>
      <c r="L335">
        <v>1491.3027109928398</v>
      </c>
      <c r="M335">
        <v>39.169047189311868</v>
      </c>
    </row>
    <row r="336" spans="1:13">
      <c r="A336" t="s">
        <v>19</v>
      </c>
      <c r="B336" t="s">
        <v>43</v>
      </c>
      <c r="C336" s="2">
        <v>0.12569444444444444</v>
      </c>
      <c r="D336" t="s">
        <v>21</v>
      </c>
      <c r="E336">
        <v>5168</v>
      </c>
      <c r="F336">
        <v>10</v>
      </c>
      <c r="G336">
        <v>13</v>
      </c>
      <c r="H336">
        <v>3</v>
      </c>
      <c r="I336">
        <v>3</v>
      </c>
      <c r="J336">
        <v>1</v>
      </c>
      <c r="K336">
        <v>1490.5766648660397</v>
      </c>
      <c r="L336">
        <v>1510.9385786267771</v>
      </c>
      <c r="M336">
        <v>-20.36191376073748</v>
      </c>
    </row>
    <row r="337" spans="1:13">
      <c r="A337" t="s">
        <v>29</v>
      </c>
      <c r="B337" t="s">
        <v>46</v>
      </c>
      <c r="C337" s="2">
        <v>0.12777777777777777</v>
      </c>
      <c r="D337" t="s">
        <v>63</v>
      </c>
      <c r="E337">
        <v>9600</v>
      </c>
      <c r="F337">
        <v>12</v>
      </c>
      <c r="G337">
        <v>5</v>
      </c>
      <c r="H337">
        <v>1</v>
      </c>
      <c r="I337">
        <v>3</v>
      </c>
      <c r="J337">
        <v>4</v>
      </c>
      <c r="K337">
        <v>1514.9280220105663</v>
      </c>
      <c r="L337">
        <v>1562.2226865635164</v>
      </c>
      <c r="M337">
        <v>-47.294664552950053</v>
      </c>
    </row>
    <row r="338" spans="1:13">
      <c r="A338" t="s">
        <v>42</v>
      </c>
      <c r="B338" t="s">
        <v>32</v>
      </c>
      <c r="C338" s="2">
        <v>8.5416666666666669E-2</v>
      </c>
      <c r="D338" t="s">
        <v>21</v>
      </c>
      <c r="E338">
        <v>5515</v>
      </c>
      <c r="F338">
        <v>4</v>
      </c>
      <c r="G338">
        <v>2</v>
      </c>
      <c r="H338">
        <v>0</v>
      </c>
      <c r="I338">
        <v>2</v>
      </c>
      <c r="J338">
        <v>3</v>
      </c>
      <c r="K338">
        <v>1510.7844857382674</v>
      </c>
      <c r="L338">
        <v>1508.5342958691681</v>
      </c>
      <c r="M338">
        <v>2.2501898690993585</v>
      </c>
    </row>
    <row r="339" spans="1:13">
      <c r="A339" t="s">
        <v>52</v>
      </c>
      <c r="B339" t="s">
        <v>47</v>
      </c>
      <c r="C339" s="2">
        <v>8.5416666666666669E-2</v>
      </c>
      <c r="D339" t="s">
        <v>21</v>
      </c>
      <c r="E339">
        <v>16806</v>
      </c>
      <c r="F339">
        <v>9</v>
      </c>
      <c r="G339">
        <v>7</v>
      </c>
      <c r="H339">
        <v>0</v>
      </c>
      <c r="I339">
        <v>2</v>
      </c>
      <c r="J339">
        <v>3</v>
      </c>
      <c r="K339">
        <v>1531.5665561348294</v>
      </c>
      <c r="L339">
        <v>1454.0550384639539</v>
      </c>
      <c r="M339">
        <v>77.511517670875492</v>
      </c>
    </row>
    <row r="340" spans="1:13">
      <c r="A340" t="s">
        <v>28</v>
      </c>
      <c r="B340" t="s">
        <v>19</v>
      </c>
      <c r="C340" s="2">
        <v>1.3888888888888889E-3</v>
      </c>
      <c r="D340" t="s">
        <v>21</v>
      </c>
      <c r="E340">
        <v>6547</v>
      </c>
      <c r="F340">
        <v>1</v>
      </c>
      <c r="G340">
        <v>10</v>
      </c>
      <c r="H340">
        <v>0</v>
      </c>
      <c r="I340">
        <v>0</v>
      </c>
      <c r="J340">
        <v>2</v>
      </c>
      <c r="K340">
        <v>1668.6852189806805</v>
      </c>
      <c r="L340">
        <v>1472.0161296152319</v>
      </c>
      <c r="M340">
        <v>196.6690893654486</v>
      </c>
    </row>
    <row r="341" spans="1:13">
      <c r="A341" t="s">
        <v>33</v>
      </c>
      <c r="B341" t="s">
        <v>29</v>
      </c>
      <c r="C341" s="2">
        <v>4.4444444444444446E-2</v>
      </c>
      <c r="D341" t="s">
        <v>21</v>
      </c>
      <c r="E341">
        <v>5725</v>
      </c>
      <c r="F341">
        <v>11</v>
      </c>
      <c r="G341">
        <v>12</v>
      </c>
      <c r="H341">
        <v>0</v>
      </c>
      <c r="I341">
        <v>1</v>
      </c>
      <c r="J341">
        <v>4</v>
      </c>
      <c r="K341">
        <v>1613.263273903847</v>
      </c>
      <c r="L341">
        <v>1487.1167504123709</v>
      </c>
      <c r="M341">
        <v>126.14652349147605</v>
      </c>
    </row>
    <row r="342" spans="1:13">
      <c r="A342" t="s">
        <v>43</v>
      </c>
      <c r="B342" t="s">
        <v>42</v>
      </c>
      <c r="C342" s="2">
        <v>0.12777777777777777</v>
      </c>
      <c r="D342" t="s">
        <v>21</v>
      </c>
      <c r="E342">
        <v>6000</v>
      </c>
      <c r="F342">
        <v>13</v>
      </c>
      <c r="G342">
        <v>4</v>
      </c>
      <c r="H342">
        <v>0</v>
      </c>
      <c r="I342">
        <v>3</v>
      </c>
      <c r="J342">
        <v>4</v>
      </c>
      <c r="K342">
        <v>1529.4991138775849</v>
      </c>
      <c r="L342">
        <v>1471.5814954161181</v>
      </c>
      <c r="M342">
        <v>57.917618461466873</v>
      </c>
    </row>
    <row r="343" spans="1:13">
      <c r="A343" t="s">
        <v>46</v>
      </c>
      <c r="B343" t="s">
        <v>38</v>
      </c>
      <c r="C343" s="2">
        <v>8.5416666666666669E-2</v>
      </c>
      <c r="D343" t="s">
        <v>21</v>
      </c>
      <c r="E343">
        <v>12000</v>
      </c>
      <c r="F343">
        <v>5</v>
      </c>
      <c r="G343">
        <v>3</v>
      </c>
      <c r="H343">
        <v>0</v>
      </c>
      <c r="I343">
        <v>2</v>
      </c>
      <c r="J343">
        <v>3</v>
      </c>
      <c r="K343">
        <v>1590.0339581617118</v>
      </c>
      <c r="L343">
        <v>1490.2079130401621</v>
      </c>
      <c r="M343">
        <v>99.826045121549669</v>
      </c>
    </row>
    <row r="344" spans="1:13">
      <c r="A344" t="s">
        <v>51</v>
      </c>
      <c r="B344" t="s">
        <v>18</v>
      </c>
      <c r="C344" s="2">
        <v>0.1673611111111111</v>
      </c>
      <c r="D344" t="s">
        <v>21</v>
      </c>
      <c r="E344">
        <v>7450</v>
      </c>
      <c r="F344">
        <v>6</v>
      </c>
      <c r="G344">
        <v>0</v>
      </c>
      <c r="H344">
        <v>3</v>
      </c>
      <c r="I344">
        <v>4</v>
      </c>
      <c r="J344">
        <v>1</v>
      </c>
      <c r="K344">
        <v>1519.9839111416316</v>
      </c>
      <c r="L344">
        <v>1442.200204378709</v>
      </c>
      <c r="M344">
        <v>77.78370676292252</v>
      </c>
    </row>
    <row r="345" spans="1:13">
      <c r="A345" t="s">
        <v>39</v>
      </c>
      <c r="B345" t="s">
        <v>18</v>
      </c>
      <c r="C345" s="2">
        <v>8.5416666666666669E-2</v>
      </c>
      <c r="D345" t="s">
        <v>63</v>
      </c>
      <c r="E345">
        <v>3913</v>
      </c>
      <c r="F345">
        <v>8</v>
      </c>
      <c r="G345">
        <v>0</v>
      </c>
      <c r="H345">
        <v>1</v>
      </c>
      <c r="I345">
        <v>2</v>
      </c>
      <c r="J345">
        <v>3</v>
      </c>
      <c r="K345">
        <v>1422.053150281851</v>
      </c>
      <c r="L345">
        <v>1433.5669236030751</v>
      </c>
      <c r="M345">
        <v>-11.513773321224107</v>
      </c>
    </row>
    <row r="346" spans="1:13">
      <c r="A346" t="s">
        <v>52</v>
      </c>
      <c r="B346" t="s">
        <v>51</v>
      </c>
      <c r="C346" s="2">
        <v>8.4027777777777785E-2</v>
      </c>
      <c r="D346" t="s">
        <v>63</v>
      </c>
      <c r="E346">
        <v>15553</v>
      </c>
      <c r="F346">
        <v>9</v>
      </c>
      <c r="G346">
        <v>6</v>
      </c>
      <c r="H346">
        <v>2</v>
      </c>
      <c r="I346">
        <v>2</v>
      </c>
      <c r="J346">
        <v>1</v>
      </c>
      <c r="K346">
        <v>1520.2075256266633</v>
      </c>
      <c r="L346">
        <v>1498.6171919172655</v>
      </c>
      <c r="M346">
        <v>21.590333709397783</v>
      </c>
    </row>
    <row r="347" spans="1:13">
      <c r="A347" t="s">
        <v>38</v>
      </c>
      <c r="B347" t="s">
        <v>47</v>
      </c>
      <c r="C347" s="2">
        <v>0.21041666666666667</v>
      </c>
      <c r="D347" t="s">
        <v>21</v>
      </c>
      <c r="E347">
        <v>7135</v>
      </c>
      <c r="F347">
        <v>3</v>
      </c>
      <c r="G347">
        <v>7</v>
      </c>
      <c r="H347">
        <v>3</v>
      </c>
      <c r="I347">
        <v>5</v>
      </c>
      <c r="J347">
        <v>3</v>
      </c>
      <c r="K347">
        <v>1532.1910395363152</v>
      </c>
      <c r="L347">
        <v>1465.41406897212</v>
      </c>
      <c r="M347">
        <v>66.776970564195153</v>
      </c>
    </row>
    <row r="348" spans="1:13">
      <c r="A348" t="s">
        <v>33</v>
      </c>
      <c r="B348" t="s">
        <v>46</v>
      </c>
      <c r="C348" s="2">
        <v>4.4444444444444446E-2</v>
      </c>
      <c r="D348" t="s">
        <v>21</v>
      </c>
      <c r="E348">
        <v>5640</v>
      </c>
      <c r="F348">
        <v>11</v>
      </c>
      <c r="G348">
        <v>5</v>
      </c>
      <c r="H348">
        <v>0</v>
      </c>
      <c r="I348">
        <v>1</v>
      </c>
      <c r="J348">
        <v>4</v>
      </c>
      <c r="K348">
        <v>1600.5644966345496</v>
      </c>
      <c r="L348">
        <v>1548.0508316655587</v>
      </c>
      <c r="M348">
        <v>52.513664968990952</v>
      </c>
    </row>
    <row r="349" spans="1:13">
      <c r="A349" t="s">
        <v>29</v>
      </c>
      <c r="B349" t="s">
        <v>28</v>
      </c>
      <c r="C349" s="2">
        <v>8.7499999999999994E-2</v>
      </c>
      <c r="D349" t="s">
        <v>21</v>
      </c>
      <c r="E349">
        <v>9600</v>
      </c>
      <c r="F349">
        <v>12</v>
      </c>
      <c r="G349">
        <v>1</v>
      </c>
      <c r="H349">
        <v>0</v>
      </c>
      <c r="I349">
        <v>2</v>
      </c>
      <c r="J349">
        <v>6</v>
      </c>
      <c r="K349">
        <v>1529.8155276816683</v>
      </c>
      <c r="L349">
        <v>1624.2250880620068</v>
      </c>
      <c r="M349">
        <v>-94.409560380338462</v>
      </c>
    </row>
    <row r="350" spans="1:13">
      <c r="A350" t="s">
        <v>42</v>
      </c>
      <c r="B350" t="s">
        <v>19</v>
      </c>
      <c r="C350" s="2">
        <v>0.25277777777777777</v>
      </c>
      <c r="D350" t="s">
        <v>21</v>
      </c>
      <c r="E350">
        <v>4995</v>
      </c>
      <c r="F350">
        <v>4</v>
      </c>
      <c r="G350">
        <v>10</v>
      </c>
      <c r="H350">
        <v>3</v>
      </c>
      <c r="I350">
        <v>6</v>
      </c>
      <c r="J350">
        <v>4</v>
      </c>
      <c r="K350">
        <v>1512.3833041400815</v>
      </c>
      <c r="L350">
        <v>1486.4762605339056</v>
      </c>
      <c r="M350">
        <v>25.907043606175876</v>
      </c>
    </row>
    <row r="351" spans="1:13">
      <c r="A351" t="s">
        <v>43</v>
      </c>
      <c r="B351" t="s">
        <v>32</v>
      </c>
      <c r="C351" s="2">
        <v>0.12777777777777777</v>
      </c>
      <c r="D351" t="s">
        <v>21</v>
      </c>
      <c r="E351">
        <v>6000</v>
      </c>
      <c r="F351">
        <v>13</v>
      </c>
      <c r="G351">
        <v>2</v>
      </c>
      <c r="H351">
        <v>0</v>
      </c>
      <c r="I351">
        <v>3</v>
      </c>
      <c r="J351">
        <v>4</v>
      </c>
      <c r="K351">
        <v>1518.6973051536215</v>
      </c>
      <c r="L351">
        <v>1517.7372861913175</v>
      </c>
      <c r="M351">
        <v>0.96001896230404782</v>
      </c>
    </row>
    <row r="352" spans="1:13">
      <c r="A352" t="s">
        <v>39</v>
      </c>
      <c r="B352" t="s">
        <v>38</v>
      </c>
      <c r="C352" s="2">
        <v>8.7499999999999994E-2</v>
      </c>
      <c r="D352" t="s">
        <v>21</v>
      </c>
      <c r="E352">
        <v>4275</v>
      </c>
      <c r="F352">
        <v>8</v>
      </c>
      <c r="G352">
        <v>3</v>
      </c>
      <c r="H352">
        <v>0</v>
      </c>
      <c r="I352">
        <v>2</v>
      </c>
      <c r="J352">
        <v>6</v>
      </c>
      <c r="K352">
        <v>1423.2423586782656</v>
      </c>
      <c r="L352">
        <v>1511.1364491125398</v>
      </c>
      <c r="M352">
        <v>-87.894090434274176</v>
      </c>
    </row>
    <row r="353" spans="1:13">
      <c r="A353" t="s">
        <v>18</v>
      </c>
      <c r="B353" t="s">
        <v>52</v>
      </c>
      <c r="C353" s="2">
        <v>0.1673611111111111</v>
      </c>
      <c r="D353" t="s">
        <v>21</v>
      </c>
      <c r="E353">
        <v>6775</v>
      </c>
      <c r="F353">
        <v>0</v>
      </c>
      <c r="G353">
        <v>9</v>
      </c>
      <c r="H353">
        <v>3</v>
      </c>
      <c r="I353">
        <v>4</v>
      </c>
      <c r="J353">
        <v>1</v>
      </c>
      <c r="K353">
        <v>1462.3777152066605</v>
      </c>
      <c r="L353">
        <v>1480.4495280199997</v>
      </c>
      <c r="M353">
        <v>-18.071812813339193</v>
      </c>
    </row>
    <row r="354" spans="1:13">
      <c r="A354" t="s">
        <v>47</v>
      </c>
      <c r="B354" t="s">
        <v>43</v>
      </c>
      <c r="C354" s="2">
        <v>0.20902777777777778</v>
      </c>
      <c r="D354" t="s">
        <v>21</v>
      </c>
      <c r="E354">
        <v>6556</v>
      </c>
      <c r="F354">
        <v>7</v>
      </c>
      <c r="G354">
        <v>13</v>
      </c>
      <c r="H354">
        <v>3</v>
      </c>
      <c r="I354">
        <v>5</v>
      </c>
      <c r="J354">
        <v>1</v>
      </c>
      <c r="K354">
        <v>1486.4686593958954</v>
      </c>
      <c r="L354">
        <v>1479.5312019635376</v>
      </c>
      <c r="M354">
        <v>6.9374574323578599</v>
      </c>
    </row>
    <row r="355" spans="1:13">
      <c r="A355" t="s">
        <v>32</v>
      </c>
      <c r="B355" t="s">
        <v>29</v>
      </c>
      <c r="C355" s="2">
        <v>0.12777777777777777</v>
      </c>
      <c r="D355" t="s">
        <v>21</v>
      </c>
      <c r="E355">
        <v>9372</v>
      </c>
      <c r="F355">
        <v>2</v>
      </c>
      <c r="G355">
        <v>12</v>
      </c>
      <c r="H355">
        <v>0</v>
      </c>
      <c r="I355">
        <v>3</v>
      </c>
      <c r="J355">
        <v>4</v>
      </c>
      <c r="K355">
        <v>1556.9033893814014</v>
      </c>
      <c r="L355">
        <v>1493.250740524169</v>
      </c>
      <c r="M355">
        <v>63.652648857232407</v>
      </c>
    </row>
    <row r="356" spans="1:13">
      <c r="A356" t="s">
        <v>19</v>
      </c>
      <c r="B356" t="s">
        <v>33</v>
      </c>
      <c r="C356" s="2">
        <v>8.4027777777777785E-2</v>
      </c>
      <c r="D356" t="s">
        <v>35</v>
      </c>
      <c r="E356">
        <v>6404</v>
      </c>
      <c r="F356">
        <v>10</v>
      </c>
      <c r="G356">
        <v>11</v>
      </c>
      <c r="H356">
        <v>2</v>
      </c>
      <c r="I356">
        <v>2</v>
      </c>
      <c r="J356">
        <v>1</v>
      </c>
      <c r="K356">
        <v>1506.3584612285017</v>
      </c>
      <c r="L356">
        <v>1559.9174067201463</v>
      </c>
      <c r="M356">
        <v>-53.558945491644636</v>
      </c>
    </row>
    <row r="357" spans="1:13">
      <c r="A357" t="s">
        <v>46</v>
      </c>
      <c r="B357" t="s">
        <v>28</v>
      </c>
      <c r="C357" s="2">
        <v>4.3055555555555555E-2</v>
      </c>
      <c r="D357" t="s">
        <v>21</v>
      </c>
      <c r="E357">
        <v>12000</v>
      </c>
      <c r="F357">
        <v>5</v>
      </c>
      <c r="G357">
        <v>1</v>
      </c>
      <c r="H357">
        <v>0</v>
      </c>
      <c r="I357">
        <v>1</v>
      </c>
      <c r="J357">
        <v>2</v>
      </c>
      <c r="K357">
        <v>1588.697921579962</v>
      </c>
      <c r="L357">
        <v>1630.789875219506</v>
      </c>
      <c r="M357">
        <v>-42.091953639544045</v>
      </c>
    </row>
    <row r="358" spans="1:13">
      <c r="A358" t="s">
        <v>51</v>
      </c>
      <c r="B358" t="s">
        <v>42</v>
      </c>
      <c r="C358" s="2">
        <v>8.5416666666666669E-2</v>
      </c>
      <c r="D358" t="s">
        <v>35</v>
      </c>
      <c r="E358">
        <v>7450</v>
      </c>
      <c r="F358">
        <v>6</v>
      </c>
      <c r="G358">
        <v>4</v>
      </c>
      <c r="H358">
        <v>1</v>
      </c>
      <c r="I358">
        <v>2</v>
      </c>
      <c r="J358">
        <v>3</v>
      </c>
      <c r="K358">
        <v>1538.3751895239291</v>
      </c>
      <c r="L358">
        <v>1492.5011034454853</v>
      </c>
      <c r="M358">
        <v>45.874086078443725</v>
      </c>
    </row>
    <row r="359" spans="1:13">
      <c r="A359" t="s">
        <v>52</v>
      </c>
      <c r="B359" t="s">
        <v>32</v>
      </c>
      <c r="C359" s="2">
        <v>0.12777777777777777</v>
      </c>
      <c r="D359" t="s">
        <v>21</v>
      </c>
      <c r="E359">
        <v>16471</v>
      </c>
      <c r="F359">
        <v>9</v>
      </c>
      <c r="G359">
        <v>2</v>
      </c>
      <c r="H359">
        <v>0</v>
      </c>
      <c r="I359">
        <v>3</v>
      </c>
      <c r="J359">
        <v>4</v>
      </c>
      <c r="K359">
        <v>1499.0746722556742</v>
      </c>
      <c r="L359">
        <v>1515.9378060619717</v>
      </c>
      <c r="M359">
        <v>-16.863133806297583</v>
      </c>
    </row>
    <row r="360" spans="1:13">
      <c r="A360" t="s">
        <v>28</v>
      </c>
      <c r="B360" t="s">
        <v>47</v>
      </c>
      <c r="C360" s="2">
        <v>0.20972222222222223</v>
      </c>
      <c r="D360" t="s">
        <v>21</v>
      </c>
      <c r="E360">
        <v>4656</v>
      </c>
      <c r="F360">
        <v>1</v>
      </c>
      <c r="G360">
        <v>7</v>
      </c>
      <c r="H360">
        <v>3</v>
      </c>
      <c r="I360">
        <v>5</v>
      </c>
      <c r="J360">
        <v>2</v>
      </c>
      <c r="K360">
        <v>1668.7441773389098</v>
      </c>
      <c r="L360">
        <v>1467.1314795062729</v>
      </c>
      <c r="M360">
        <v>201.61269783263697</v>
      </c>
    </row>
    <row r="361" spans="1:13">
      <c r="A361" t="s">
        <v>38</v>
      </c>
      <c r="B361" t="s">
        <v>19</v>
      </c>
      <c r="C361" s="2">
        <v>0.29166666666666669</v>
      </c>
      <c r="D361" t="s">
        <v>21</v>
      </c>
      <c r="E361">
        <v>6342</v>
      </c>
      <c r="F361">
        <v>3</v>
      </c>
      <c r="G361">
        <v>10</v>
      </c>
      <c r="H361">
        <v>3</v>
      </c>
      <c r="I361">
        <v>7</v>
      </c>
      <c r="J361">
        <v>0</v>
      </c>
      <c r="K361">
        <v>1547.8676894958862</v>
      </c>
      <c r="L361">
        <v>1468.7181595533818</v>
      </c>
      <c r="M361">
        <v>79.149529942504387</v>
      </c>
    </row>
    <row r="362" spans="1:13">
      <c r="A362" t="s">
        <v>33</v>
      </c>
      <c r="B362" t="s">
        <v>51</v>
      </c>
      <c r="C362" s="2">
        <v>0.1673611111111111</v>
      </c>
      <c r="D362" t="s">
        <v>21</v>
      </c>
      <c r="E362">
        <v>5941</v>
      </c>
      <c r="F362">
        <v>11</v>
      </c>
      <c r="G362">
        <v>6</v>
      </c>
      <c r="H362">
        <v>3</v>
      </c>
      <c r="I362">
        <v>4</v>
      </c>
      <c r="J362">
        <v>1</v>
      </c>
      <c r="K362">
        <v>1597.5577083952662</v>
      </c>
      <c r="L362">
        <v>1507.9186142571416</v>
      </c>
      <c r="M362">
        <v>89.639094138124619</v>
      </c>
    </row>
    <row r="363" spans="1:13">
      <c r="A363" t="s">
        <v>29</v>
      </c>
      <c r="B363" t="s">
        <v>39</v>
      </c>
      <c r="C363" s="2">
        <v>8.5416666666666669E-2</v>
      </c>
      <c r="D363" t="s">
        <v>63</v>
      </c>
      <c r="E363">
        <v>9600</v>
      </c>
      <c r="F363">
        <v>12</v>
      </c>
      <c r="G363">
        <v>8</v>
      </c>
      <c r="H363">
        <v>1</v>
      </c>
      <c r="I363">
        <v>2</v>
      </c>
      <c r="J363">
        <v>3</v>
      </c>
      <c r="K363">
        <v>1534.2163238435987</v>
      </c>
      <c r="L363">
        <v>1386.5111182949192</v>
      </c>
      <c r="M363">
        <v>147.70520554867949</v>
      </c>
    </row>
    <row r="364" spans="1:13">
      <c r="A364" t="s">
        <v>42</v>
      </c>
      <c r="B364" t="s">
        <v>18</v>
      </c>
      <c r="C364" s="2">
        <v>0.25138888888888888</v>
      </c>
      <c r="D364" t="s">
        <v>21</v>
      </c>
      <c r="E364">
        <v>4562</v>
      </c>
      <c r="F364">
        <v>4</v>
      </c>
      <c r="G364">
        <v>0</v>
      </c>
      <c r="H364">
        <v>3</v>
      </c>
      <c r="I364">
        <v>6</v>
      </c>
      <c r="J364">
        <v>2</v>
      </c>
      <c r="K364">
        <v>1522.9576787122728</v>
      </c>
      <c r="L364">
        <v>1443.752570970986</v>
      </c>
      <c r="M364">
        <v>79.205107741286838</v>
      </c>
    </row>
    <row r="365" spans="1:13">
      <c r="A365" t="s">
        <v>43</v>
      </c>
      <c r="B365" t="s">
        <v>46</v>
      </c>
      <c r="C365" s="2">
        <v>1.3888888888888889E-3</v>
      </c>
      <c r="D365" t="s">
        <v>21</v>
      </c>
      <c r="E365">
        <v>5416</v>
      </c>
      <c r="F365">
        <v>13</v>
      </c>
      <c r="G365">
        <v>5</v>
      </c>
      <c r="H365">
        <v>0</v>
      </c>
      <c r="I365">
        <v>0</v>
      </c>
      <c r="J365">
        <v>2</v>
      </c>
      <c r="K365">
        <v>1498.8683818531601</v>
      </c>
      <c r="L365">
        <v>1550.7436194605582</v>
      </c>
      <c r="M365">
        <v>-51.875237607398049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E604-C98C-43AE-9F10-9B097C20CDBB}">
  <dimension ref="A1:T365"/>
  <sheetViews>
    <sheetView tabSelected="1" workbookViewId="0">
      <selection activeCell="S1" sqref="S1:S1048576"/>
    </sheetView>
  </sheetViews>
  <sheetFormatPr defaultRowHeight="15"/>
  <cols>
    <col min="1" max="1" width="5.5703125" bestFit="1" customWidth="1"/>
    <col min="2" max="2" width="14.140625" customWidth="1"/>
    <col min="3" max="3" width="12" customWidth="1"/>
    <col min="4" max="5" width="21.5703125" bestFit="1" customWidth="1"/>
    <col min="6" max="6" width="9.5703125" bestFit="1" customWidth="1"/>
    <col min="7" max="7" width="13.85546875" bestFit="1" customWidth="1"/>
    <col min="8" max="9" width="8" bestFit="1" customWidth="1"/>
    <col min="10" max="10" width="9" bestFit="1" customWidth="1"/>
    <col min="11" max="11" width="42.140625" bestFit="1" customWidth="1"/>
    <col min="12" max="12" width="6.28515625" bestFit="1" customWidth="1"/>
    <col min="13" max="13" width="41.7109375" bestFit="1" customWidth="1"/>
    <col min="14" max="14" width="11.7109375" bestFit="1" customWidth="1"/>
    <col min="15" max="15" width="6.140625" bestFit="1" customWidth="1"/>
    <col min="16" max="16" width="8.42578125" bestFit="1" customWidth="1"/>
    <col min="17" max="17" width="12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383</v>
      </c>
      <c r="S1" t="s">
        <v>384</v>
      </c>
    </row>
    <row r="2" spans="1:19">
      <c r="A2" t="s">
        <v>17</v>
      </c>
      <c r="B2" s="1">
        <v>45909</v>
      </c>
      <c r="C2" s="2">
        <v>0.82291666666666663</v>
      </c>
      <c r="D2" t="s">
        <v>18</v>
      </c>
      <c r="E2" t="s">
        <v>19</v>
      </c>
      <c r="F2" s="3">
        <v>8.4027777777777785E-2</v>
      </c>
      <c r="G2" t="s">
        <v>20</v>
      </c>
      <c r="H2" t="s">
        <v>21</v>
      </c>
      <c r="I2" t="s">
        <v>22</v>
      </c>
      <c r="J2" t="b">
        <v>0</v>
      </c>
      <c r="K2" t="s">
        <v>23</v>
      </c>
      <c r="L2">
        <v>6149</v>
      </c>
      <c r="M2" t="s">
        <v>24</v>
      </c>
      <c r="N2">
        <v>20261105000001</v>
      </c>
      <c r="O2" t="s">
        <v>25</v>
      </c>
      <c r="P2" t="s">
        <v>26</v>
      </c>
      <c r="Q2" t="s">
        <v>27</v>
      </c>
      <c r="R2">
        <v>94.12</v>
      </c>
      <c r="S2">
        <v>93.55</v>
      </c>
    </row>
    <row r="3" spans="1:19">
      <c r="A3" t="s">
        <v>17</v>
      </c>
      <c r="B3" s="1">
        <v>45909</v>
      </c>
      <c r="C3" s="2">
        <v>0.82291666666666663</v>
      </c>
      <c r="D3" t="s">
        <v>28</v>
      </c>
      <c r="E3" t="s">
        <v>29</v>
      </c>
      <c r="F3" s="3">
        <v>0.1673611111111111</v>
      </c>
      <c r="G3" t="s">
        <v>30</v>
      </c>
      <c r="H3" t="s">
        <v>21</v>
      </c>
      <c r="I3" t="s">
        <v>22</v>
      </c>
      <c r="J3" t="b">
        <v>0</v>
      </c>
      <c r="K3" t="s">
        <v>31</v>
      </c>
      <c r="L3">
        <v>3696</v>
      </c>
      <c r="M3" t="s">
        <v>24</v>
      </c>
      <c r="N3">
        <v>20261105000002</v>
      </c>
      <c r="O3" t="s">
        <v>25</v>
      </c>
      <c r="P3" t="s">
        <v>26</v>
      </c>
      <c r="Q3" t="s">
        <v>27</v>
      </c>
      <c r="R3">
        <v>95.65</v>
      </c>
      <c r="S3">
        <v>85.71</v>
      </c>
    </row>
    <row r="4" spans="1:19">
      <c r="A4" t="s">
        <v>17</v>
      </c>
      <c r="B4" s="1">
        <v>45909</v>
      </c>
      <c r="C4" s="2">
        <v>0.82291666666666663</v>
      </c>
      <c r="D4" t="s">
        <v>32</v>
      </c>
      <c r="E4" t="s">
        <v>33</v>
      </c>
      <c r="F4" s="3">
        <v>0.12638888888888888</v>
      </c>
      <c r="G4" t="s">
        <v>34</v>
      </c>
      <c r="H4" t="s">
        <v>35</v>
      </c>
      <c r="I4" t="s">
        <v>22</v>
      </c>
      <c r="J4" t="b">
        <v>0</v>
      </c>
      <c r="K4" t="s">
        <v>36</v>
      </c>
      <c r="L4">
        <v>9280</v>
      </c>
      <c r="M4" t="s">
        <v>37</v>
      </c>
      <c r="N4">
        <v>20261105000003</v>
      </c>
      <c r="O4" t="s">
        <v>25</v>
      </c>
      <c r="P4" t="s">
        <v>26</v>
      </c>
      <c r="Q4" t="s">
        <v>27</v>
      </c>
      <c r="R4">
        <v>92</v>
      </c>
      <c r="S4">
        <v>90</v>
      </c>
    </row>
    <row r="5" spans="1:19">
      <c r="A5" t="s">
        <v>17</v>
      </c>
      <c r="B5" s="1">
        <v>45909</v>
      </c>
      <c r="C5" s="2">
        <v>0.82291666666666663</v>
      </c>
      <c r="D5" t="s">
        <v>38</v>
      </c>
      <c r="E5" t="s">
        <v>39</v>
      </c>
      <c r="F5" s="3">
        <v>0.21041666666666667</v>
      </c>
      <c r="G5" t="s">
        <v>40</v>
      </c>
      <c r="H5" t="s">
        <v>21</v>
      </c>
      <c r="I5" t="s">
        <v>22</v>
      </c>
      <c r="J5" t="b">
        <v>0</v>
      </c>
      <c r="K5" t="s">
        <v>41</v>
      </c>
      <c r="L5">
        <v>6003</v>
      </c>
      <c r="M5" t="s">
        <v>24</v>
      </c>
      <c r="N5">
        <v>20261105000004</v>
      </c>
      <c r="O5" t="s">
        <v>25</v>
      </c>
      <c r="P5" t="s">
        <v>26</v>
      </c>
      <c r="Q5" t="s">
        <v>27</v>
      </c>
      <c r="R5">
        <v>88</v>
      </c>
      <c r="S5">
        <v>90.24</v>
      </c>
    </row>
    <row r="6" spans="1:19">
      <c r="A6" t="s">
        <v>17</v>
      </c>
      <c r="B6" s="1">
        <v>45909</v>
      </c>
      <c r="C6" s="2">
        <v>0.82291666666666663</v>
      </c>
      <c r="D6" t="s">
        <v>42</v>
      </c>
      <c r="E6" t="s">
        <v>43</v>
      </c>
      <c r="F6" s="3">
        <v>0.20902777777777778</v>
      </c>
      <c r="G6" t="s">
        <v>44</v>
      </c>
      <c r="H6" t="s">
        <v>21</v>
      </c>
      <c r="I6" t="s">
        <v>22</v>
      </c>
      <c r="J6" t="b">
        <v>0</v>
      </c>
      <c r="K6" t="s">
        <v>45</v>
      </c>
      <c r="L6">
        <v>4293</v>
      </c>
      <c r="M6" t="s">
        <v>24</v>
      </c>
      <c r="N6">
        <v>20261105000005</v>
      </c>
      <c r="O6" t="s">
        <v>25</v>
      </c>
      <c r="P6" t="s">
        <v>26</v>
      </c>
      <c r="Q6" t="s">
        <v>27</v>
      </c>
      <c r="R6">
        <v>95.83</v>
      </c>
      <c r="S6">
        <v>89.13</v>
      </c>
    </row>
    <row r="7" spans="1:19">
      <c r="A7" t="s">
        <v>17</v>
      </c>
      <c r="B7" s="1">
        <v>45909</v>
      </c>
      <c r="C7" s="2">
        <v>0.82291666666666663</v>
      </c>
      <c r="D7" t="s">
        <v>46</v>
      </c>
      <c r="E7" t="s">
        <v>47</v>
      </c>
      <c r="F7" s="3">
        <v>0.16875000000000001</v>
      </c>
      <c r="G7" t="s">
        <v>48</v>
      </c>
      <c r="H7" t="s">
        <v>21</v>
      </c>
      <c r="I7" t="s">
        <v>22</v>
      </c>
      <c r="J7" t="b">
        <v>0</v>
      </c>
      <c r="K7" t="s">
        <v>49</v>
      </c>
      <c r="L7">
        <v>10152</v>
      </c>
      <c r="M7" t="s">
        <v>50</v>
      </c>
      <c r="N7">
        <v>20261105000006</v>
      </c>
      <c r="O7" t="s">
        <v>25</v>
      </c>
      <c r="P7" t="s">
        <v>26</v>
      </c>
      <c r="Q7" t="s">
        <v>27</v>
      </c>
      <c r="R7">
        <v>85.71</v>
      </c>
      <c r="S7">
        <v>85.71</v>
      </c>
    </row>
    <row r="8" spans="1:19">
      <c r="A8" t="s">
        <v>17</v>
      </c>
      <c r="B8" s="1">
        <v>45909</v>
      </c>
      <c r="C8" s="2">
        <v>0.82291666666666663</v>
      </c>
      <c r="D8" t="s">
        <v>51</v>
      </c>
      <c r="E8" t="s">
        <v>52</v>
      </c>
      <c r="F8" s="3">
        <v>0.125</v>
      </c>
      <c r="G8" t="s">
        <v>53</v>
      </c>
      <c r="H8" t="s">
        <v>21</v>
      </c>
      <c r="I8" t="s">
        <v>22</v>
      </c>
      <c r="J8" t="b">
        <v>0</v>
      </c>
      <c r="K8" t="s">
        <v>54</v>
      </c>
      <c r="L8">
        <v>7073</v>
      </c>
      <c r="M8" t="s">
        <v>24</v>
      </c>
      <c r="N8">
        <v>20261105000007</v>
      </c>
      <c r="O8" t="s">
        <v>25</v>
      </c>
      <c r="P8" t="s">
        <v>26</v>
      </c>
      <c r="Q8" t="s">
        <v>27</v>
      </c>
      <c r="R8">
        <v>100</v>
      </c>
      <c r="S8">
        <v>88.89</v>
      </c>
    </row>
    <row r="9" spans="1:19">
      <c r="A9" t="s">
        <v>55</v>
      </c>
      <c r="B9" s="1">
        <v>45911</v>
      </c>
      <c r="C9" s="2">
        <v>0.83333333333333337</v>
      </c>
      <c r="D9" t="s">
        <v>47</v>
      </c>
      <c r="E9" t="s">
        <v>28</v>
      </c>
      <c r="F9" s="3">
        <v>4.4444444444444446E-2</v>
      </c>
      <c r="G9" t="s">
        <v>56</v>
      </c>
      <c r="H9" t="s">
        <v>21</v>
      </c>
      <c r="I9" t="s">
        <v>22</v>
      </c>
      <c r="J9" t="b">
        <v>0</v>
      </c>
      <c r="K9" t="s">
        <v>57</v>
      </c>
      <c r="L9">
        <v>5705</v>
      </c>
      <c r="M9" t="s">
        <v>58</v>
      </c>
      <c r="N9">
        <v>20261105000010</v>
      </c>
      <c r="O9" t="s">
        <v>25</v>
      </c>
      <c r="P9" t="s">
        <v>26</v>
      </c>
      <c r="Q9" t="s">
        <v>27</v>
      </c>
      <c r="R9">
        <v>81.25</v>
      </c>
      <c r="S9">
        <v>96.97</v>
      </c>
    </row>
    <row r="10" spans="1:19">
      <c r="A10" t="s">
        <v>59</v>
      </c>
      <c r="B10" s="1">
        <v>45912</v>
      </c>
      <c r="C10" s="2">
        <v>0.82291666666666663</v>
      </c>
      <c r="D10" t="s">
        <v>39</v>
      </c>
      <c r="E10" t="s">
        <v>46</v>
      </c>
      <c r="F10" s="3">
        <v>2.7777777777777779E-3</v>
      </c>
      <c r="G10" t="s">
        <v>60</v>
      </c>
      <c r="H10" t="s">
        <v>21</v>
      </c>
      <c r="I10" t="s">
        <v>22</v>
      </c>
      <c r="J10" t="b">
        <v>0</v>
      </c>
      <c r="K10" t="s">
        <v>61</v>
      </c>
      <c r="L10">
        <v>3963</v>
      </c>
      <c r="M10" t="s">
        <v>24</v>
      </c>
      <c r="N10">
        <v>20261105000008</v>
      </c>
      <c r="O10" t="s">
        <v>25</v>
      </c>
      <c r="P10" t="s">
        <v>26</v>
      </c>
      <c r="Q10" t="s">
        <v>27</v>
      </c>
      <c r="R10">
        <v>89.47</v>
      </c>
      <c r="S10">
        <v>100</v>
      </c>
    </row>
    <row r="11" spans="1:19">
      <c r="A11" t="s">
        <v>59</v>
      </c>
      <c r="B11" s="1">
        <v>45912</v>
      </c>
      <c r="C11" s="2">
        <v>0.82291666666666663</v>
      </c>
      <c r="D11" t="s">
        <v>52</v>
      </c>
      <c r="E11" t="s">
        <v>38</v>
      </c>
      <c r="F11" s="3">
        <v>8.4027777777777785E-2</v>
      </c>
      <c r="G11" t="s">
        <v>62</v>
      </c>
      <c r="H11" t="s">
        <v>63</v>
      </c>
      <c r="I11" t="s">
        <v>22</v>
      </c>
      <c r="J11" t="b">
        <v>0</v>
      </c>
      <c r="K11" t="s">
        <v>64</v>
      </c>
      <c r="L11">
        <v>14523</v>
      </c>
      <c r="M11" t="s">
        <v>24</v>
      </c>
      <c r="N11">
        <v>20261105000009</v>
      </c>
      <c r="O11" t="s">
        <v>25</v>
      </c>
      <c r="P11" t="s">
        <v>26</v>
      </c>
      <c r="Q11" t="s">
        <v>27</v>
      </c>
      <c r="R11">
        <v>96.77</v>
      </c>
      <c r="S11">
        <v>96.67</v>
      </c>
    </row>
    <row r="12" spans="1:19">
      <c r="A12" t="s">
        <v>59</v>
      </c>
      <c r="B12" s="1">
        <v>45912</v>
      </c>
      <c r="C12" s="2">
        <v>0.82291666666666663</v>
      </c>
      <c r="D12" t="s">
        <v>19</v>
      </c>
      <c r="E12" t="s">
        <v>42</v>
      </c>
      <c r="F12" s="3">
        <v>0.21041666666666667</v>
      </c>
      <c r="G12" t="s">
        <v>65</v>
      </c>
      <c r="H12" t="s">
        <v>21</v>
      </c>
      <c r="I12" t="s">
        <v>22</v>
      </c>
      <c r="J12" t="b">
        <v>0</v>
      </c>
      <c r="K12" t="s">
        <v>66</v>
      </c>
      <c r="L12">
        <v>5090</v>
      </c>
      <c r="M12" t="s">
        <v>24</v>
      </c>
      <c r="N12">
        <v>20261105000011</v>
      </c>
      <c r="O12" t="s">
        <v>25</v>
      </c>
      <c r="P12" t="s">
        <v>26</v>
      </c>
      <c r="Q12" t="s">
        <v>27</v>
      </c>
      <c r="R12">
        <v>90.91</v>
      </c>
      <c r="S12">
        <v>87.5</v>
      </c>
    </row>
    <row r="13" spans="1:19">
      <c r="A13" t="s">
        <v>59</v>
      </c>
      <c r="B13" s="1">
        <v>45912</v>
      </c>
      <c r="C13" s="2">
        <v>0.82291666666666663</v>
      </c>
      <c r="D13" t="s">
        <v>33</v>
      </c>
      <c r="E13" t="s">
        <v>51</v>
      </c>
      <c r="F13" s="3">
        <v>4.3055555555555555E-2</v>
      </c>
      <c r="G13" t="s">
        <v>67</v>
      </c>
      <c r="H13" t="s">
        <v>21</v>
      </c>
      <c r="I13" t="s">
        <v>22</v>
      </c>
      <c r="J13" t="b">
        <v>0</v>
      </c>
      <c r="K13" t="s">
        <v>68</v>
      </c>
      <c r="L13">
        <v>5160</v>
      </c>
      <c r="M13" t="s">
        <v>58</v>
      </c>
      <c r="N13">
        <v>20261105000012</v>
      </c>
      <c r="O13" t="s">
        <v>25</v>
      </c>
      <c r="P13" t="s">
        <v>26</v>
      </c>
      <c r="Q13" t="s">
        <v>27</v>
      </c>
      <c r="R13">
        <v>86.67</v>
      </c>
      <c r="S13">
        <v>95.24</v>
      </c>
    </row>
    <row r="14" spans="1:19">
      <c r="A14" t="s">
        <v>59</v>
      </c>
      <c r="B14" s="1">
        <v>45912</v>
      </c>
      <c r="C14" s="2">
        <v>0.82291666666666663</v>
      </c>
      <c r="D14" t="s">
        <v>29</v>
      </c>
      <c r="E14" t="s">
        <v>32</v>
      </c>
      <c r="F14" s="3">
        <v>0.20902777777777778</v>
      </c>
      <c r="G14" t="s">
        <v>69</v>
      </c>
      <c r="H14" t="s">
        <v>21</v>
      </c>
      <c r="I14" t="s">
        <v>22</v>
      </c>
      <c r="J14" t="b">
        <v>0</v>
      </c>
      <c r="K14" t="s">
        <v>70</v>
      </c>
      <c r="L14">
        <v>9600</v>
      </c>
      <c r="M14" t="s">
        <v>50</v>
      </c>
      <c r="N14">
        <v>20261105000013</v>
      </c>
      <c r="O14" t="s">
        <v>25</v>
      </c>
      <c r="P14" t="s">
        <v>26</v>
      </c>
      <c r="Q14" t="s">
        <v>27</v>
      </c>
      <c r="R14">
        <v>95.83</v>
      </c>
      <c r="S14">
        <v>83.33</v>
      </c>
    </row>
    <row r="15" spans="1:19">
      <c r="A15" t="s">
        <v>59</v>
      </c>
      <c r="B15" s="1">
        <v>45912</v>
      </c>
      <c r="C15" s="2">
        <v>0.82291666666666663</v>
      </c>
      <c r="D15" t="s">
        <v>43</v>
      </c>
      <c r="E15" t="s">
        <v>18</v>
      </c>
      <c r="F15" s="3">
        <v>0.12638888888888888</v>
      </c>
      <c r="G15" t="s">
        <v>71</v>
      </c>
      <c r="H15" t="s">
        <v>21</v>
      </c>
      <c r="I15" t="s">
        <v>22</v>
      </c>
      <c r="J15" t="b">
        <v>0</v>
      </c>
      <c r="K15" t="s">
        <v>72</v>
      </c>
      <c r="L15">
        <v>5685</v>
      </c>
      <c r="M15" t="s">
        <v>24</v>
      </c>
      <c r="N15">
        <v>20261105000014</v>
      </c>
      <c r="O15" t="s">
        <v>25</v>
      </c>
      <c r="P15" t="s">
        <v>26</v>
      </c>
      <c r="Q15" t="s">
        <v>27</v>
      </c>
      <c r="R15">
        <v>94.12</v>
      </c>
      <c r="S15">
        <v>90</v>
      </c>
    </row>
    <row r="16" spans="1:19">
      <c r="A16" t="s">
        <v>73</v>
      </c>
      <c r="B16" s="1">
        <v>45913</v>
      </c>
      <c r="C16" s="2">
        <v>0.82291666666666663</v>
      </c>
      <c r="D16" t="s">
        <v>18</v>
      </c>
      <c r="E16" t="s">
        <v>29</v>
      </c>
      <c r="F16" s="3">
        <v>2.0833333333333333E-3</v>
      </c>
      <c r="G16" t="s">
        <v>74</v>
      </c>
      <c r="H16" t="s">
        <v>21</v>
      </c>
      <c r="I16" t="s">
        <v>22</v>
      </c>
      <c r="J16" t="b">
        <v>0</v>
      </c>
      <c r="K16" t="s">
        <v>23</v>
      </c>
      <c r="L16">
        <v>6333</v>
      </c>
      <c r="M16" t="s">
        <v>24</v>
      </c>
      <c r="N16">
        <v>20261105000015</v>
      </c>
      <c r="O16" t="s">
        <v>25</v>
      </c>
      <c r="P16" t="s">
        <v>26</v>
      </c>
      <c r="Q16" t="s">
        <v>27</v>
      </c>
      <c r="R16">
        <v>93.1</v>
      </c>
      <c r="S16">
        <v>100</v>
      </c>
    </row>
    <row r="17" spans="1:19">
      <c r="A17" t="s">
        <v>73</v>
      </c>
      <c r="B17" s="1">
        <v>45913</v>
      </c>
      <c r="C17" s="2">
        <v>0.82291666666666663</v>
      </c>
      <c r="D17" t="s">
        <v>32</v>
      </c>
      <c r="E17" t="s">
        <v>47</v>
      </c>
      <c r="F17" s="3">
        <v>0.16666666666666666</v>
      </c>
      <c r="G17" t="s">
        <v>75</v>
      </c>
      <c r="H17" t="s">
        <v>21</v>
      </c>
      <c r="I17" t="s">
        <v>22</v>
      </c>
      <c r="J17" t="b">
        <v>0</v>
      </c>
      <c r="K17" t="s">
        <v>36</v>
      </c>
      <c r="L17">
        <v>9280</v>
      </c>
      <c r="M17" t="s">
        <v>24</v>
      </c>
      <c r="N17">
        <v>20261105000017</v>
      </c>
      <c r="O17" t="s">
        <v>25</v>
      </c>
      <c r="P17" t="s">
        <v>26</v>
      </c>
      <c r="Q17" t="s">
        <v>27</v>
      </c>
      <c r="R17">
        <v>100</v>
      </c>
      <c r="S17">
        <v>87.1</v>
      </c>
    </row>
    <row r="18" spans="1:19">
      <c r="A18" t="s">
        <v>73</v>
      </c>
      <c r="B18" s="1">
        <v>45913</v>
      </c>
      <c r="C18" s="2">
        <v>0.82291666666666663</v>
      </c>
      <c r="D18" t="s">
        <v>38</v>
      </c>
      <c r="E18" t="s">
        <v>19</v>
      </c>
      <c r="F18" s="3">
        <v>0.16805555555555557</v>
      </c>
      <c r="G18" t="s">
        <v>76</v>
      </c>
      <c r="H18" t="s">
        <v>21</v>
      </c>
      <c r="I18" t="s">
        <v>22</v>
      </c>
      <c r="J18" t="b">
        <v>0</v>
      </c>
      <c r="K18" t="s">
        <v>41</v>
      </c>
      <c r="L18">
        <v>5817</v>
      </c>
      <c r="M18" t="s">
        <v>24</v>
      </c>
      <c r="N18">
        <v>20261105000018</v>
      </c>
      <c r="O18" t="s">
        <v>25</v>
      </c>
      <c r="P18" t="s">
        <v>26</v>
      </c>
      <c r="Q18" t="s">
        <v>27</v>
      </c>
      <c r="R18">
        <v>93.1</v>
      </c>
      <c r="S18">
        <v>84.21</v>
      </c>
    </row>
    <row r="19" spans="1:19">
      <c r="A19" t="s">
        <v>73</v>
      </c>
      <c r="B19" s="1">
        <v>45913</v>
      </c>
      <c r="C19" s="2">
        <v>0.82291666666666663</v>
      </c>
      <c r="D19" t="s">
        <v>42</v>
      </c>
      <c r="E19" t="s">
        <v>52</v>
      </c>
      <c r="F19" s="3">
        <v>8.4027777777777785E-2</v>
      </c>
      <c r="G19" t="s">
        <v>77</v>
      </c>
      <c r="H19" t="s">
        <v>21</v>
      </c>
      <c r="I19" t="s">
        <v>22</v>
      </c>
      <c r="J19" t="b">
        <v>0</v>
      </c>
      <c r="K19" t="s">
        <v>45</v>
      </c>
      <c r="L19">
        <v>4678</v>
      </c>
      <c r="M19" t="s">
        <v>24</v>
      </c>
      <c r="N19">
        <v>20261105000019</v>
      </c>
      <c r="O19" t="s">
        <v>25</v>
      </c>
      <c r="P19" t="s">
        <v>26</v>
      </c>
      <c r="Q19" t="s">
        <v>27</v>
      </c>
      <c r="R19">
        <v>96.77</v>
      </c>
      <c r="S19">
        <v>94.59</v>
      </c>
    </row>
    <row r="20" spans="1:19">
      <c r="A20" t="s">
        <v>73</v>
      </c>
      <c r="B20" s="1">
        <v>45913</v>
      </c>
      <c r="C20" s="2">
        <v>0.82291666666666663</v>
      </c>
      <c r="D20" t="s">
        <v>46</v>
      </c>
      <c r="E20" t="s">
        <v>33</v>
      </c>
      <c r="F20" s="3">
        <v>0.20902777777777778</v>
      </c>
      <c r="G20" t="s">
        <v>78</v>
      </c>
      <c r="H20" t="s">
        <v>21</v>
      </c>
      <c r="I20" t="s">
        <v>22</v>
      </c>
      <c r="J20" t="b">
        <v>0</v>
      </c>
      <c r="K20" t="s">
        <v>49</v>
      </c>
      <c r="L20">
        <v>10644</v>
      </c>
      <c r="M20" t="s">
        <v>24</v>
      </c>
      <c r="N20">
        <v>20261105000020</v>
      </c>
      <c r="O20" t="s">
        <v>25</v>
      </c>
      <c r="P20" t="s">
        <v>26</v>
      </c>
      <c r="Q20" t="s">
        <v>27</v>
      </c>
      <c r="R20">
        <v>97.14</v>
      </c>
      <c r="S20">
        <v>84.38</v>
      </c>
    </row>
    <row r="21" spans="1:19">
      <c r="A21" t="s">
        <v>73</v>
      </c>
      <c r="B21" s="1">
        <v>45913</v>
      </c>
      <c r="C21" s="2">
        <v>0.82291666666666663</v>
      </c>
      <c r="D21" t="s">
        <v>51</v>
      </c>
      <c r="E21" t="s">
        <v>43</v>
      </c>
      <c r="F21" s="3">
        <v>0.12777777777777777</v>
      </c>
      <c r="G21" t="s">
        <v>79</v>
      </c>
      <c r="H21" t="s">
        <v>35</v>
      </c>
      <c r="I21" t="s">
        <v>22</v>
      </c>
      <c r="J21" t="b">
        <v>0</v>
      </c>
      <c r="K21" t="s">
        <v>54</v>
      </c>
      <c r="L21">
        <v>7157</v>
      </c>
      <c r="M21" t="s">
        <v>24</v>
      </c>
      <c r="N21">
        <v>20261105000021</v>
      </c>
      <c r="O21" t="s">
        <v>25</v>
      </c>
      <c r="P21" t="s">
        <v>26</v>
      </c>
      <c r="Q21" t="s">
        <v>27</v>
      </c>
      <c r="R21">
        <v>84.62</v>
      </c>
      <c r="S21">
        <v>85.71</v>
      </c>
    </row>
    <row r="22" spans="1:19">
      <c r="A22" t="s">
        <v>80</v>
      </c>
      <c r="B22" s="1">
        <v>45914</v>
      </c>
      <c r="C22" s="2">
        <v>0.65625</v>
      </c>
      <c r="D22" t="s">
        <v>28</v>
      </c>
      <c r="E22" t="s">
        <v>39</v>
      </c>
      <c r="F22" s="3">
        <v>0.25</v>
      </c>
      <c r="G22" t="s">
        <v>81</v>
      </c>
      <c r="H22" t="s">
        <v>21</v>
      </c>
      <c r="I22" t="s">
        <v>22</v>
      </c>
      <c r="J22" t="b">
        <v>0</v>
      </c>
      <c r="K22" t="s">
        <v>31</v>
      </c>
      <c r="L22">
        <v>4859</v>
      </c>
      <c r="M22" t="s">
        <v>24</v>
      </c>
      <c r="N22">
        <v>20261105000016</v>
      </c>
      <c r="O22" t="s">
        <v>25</v>
      </c>
      <c r="P22" t="s">
        <v>26</v>
      </c>
      <c r="Q22" t="s">
        <v>27</v>
      </c>
      <c r="R22">
        <v>100</v>
      </c>
      <c r="S22">
        <v>84.21</v>
      </c>
    </row>
    <row r="23" spans="1:19">
      <c r="A23" t="s">
        <v>17</v>
      </c>
      <c r="B23" s="1">
        <v>45916</v>
      </c>
      <c r="C23" s="2">
        <v>0.82291666666666663</v>
      </c>
      <c r="D23" t="s">
        <v>39</v>
      </c>
      <c r="E23" t="s">
        <v>42</v>
      </c>
      <c r="F23" s="3">
        <v>8.611111111111111E-2</v>
      </c>
      <c r="G23" t="s">
        <v>82</v>
      </c>
      <c r="H23" t="s">
        <v>21</v>
      </c>
      <c r="I23" t="s">
        <v>22</v>
      </c>
      <c r="J23" t="b">
        <v>0</v>
      </c>
      <c r="K23" t="s">
        <v>61</v>
      </c>
      <c r="L23">
        <v>3437</v>
      </c>
      <c r="M23" t="s">
        <v>24</v>
      </c>
      <c r="N23">
        <v>20261105000022</v>
      </c>
      <c r="O23" t="s">
        <v>25</v>
      </c>
      <c r="P23" t="s">
        <v>26</v>
      </c>
      <c r="Q23" t="s">
        <v>27</v>
      </c>
      <c r="R23">
        <v>78.95</v>
      </c>
      <c r="S23">
        <v>93.55</v>
      </c>
    </row>
    <row r="24" spans="1:19">
      <c r="A24" t="s">
        <v>17</v>
      </c>
      <c r="B24" s="1">
        <v>45916</v>
      </c>
      <c r="C24" s="2">
        <v>0.82291666666666663</v>
      </c>
      <c r="D24" t="s">
        <v>52</v>
      </c>
      <c r="E24" t="s">
        <v>18</v>
      </c>
      <c r="F24" s="3">
        <v>0.12569444444444444</v>
      </c>
      <c r="G24" t="s">
        <v>83</v>
      </c>
      <c r="H24" t="s">
        <v>21</v>
      </c>
      <c r="I24" t="s">
        <v>22</v>
      </c>
      <c r="J24" t="b">
        <v>0</v>
      </c>
      <c r="K24" t="s">
        <v>64</v>
      </c>
      <c r="L24">
        <v>14301</v>
      </c>
      <c r="M24" t="s">
        <v>37</v>
      </c>
      <c r="N24">
        <v>20261105000023</v>
      </c>
      <c r="O24" t="s">
        <v>25</v>
      </c>
      <c r="P24" t="s">
        <v>26</v>
      </c>
      <c r="Q24" t="s">
        <v>27</v>
      </c>
      <c r="R24">
        <v>95.24</v>
      </c>
      <c r="S24">
        <v>90.32</v>
      </c>
    </row>
    <row r="25" spans="1:19">
      <c r="A25" t="s">
        <v>17</v>
      </c>
      <c r="B25" s="1">
        <v>45916</v>
      </c>
      <c r="C25" s="2">
        <v>0.82291666666666663</v>
      </c>
      <c r="D25" t="s">
        <v>47</v>
      </c>
      <c r="E25" t="s">
        <v>33</v>
      </c>
      <c r="F25" s="3">
        <v>0.12638888888888888</v>
      </c>
      <c r="G25" t="s">
        <v>84</v>
      </c>
      <c r="H25" t="s">
        <v>35</v>
      </c>
      <c r="I25" t="s">
        <v>22</v>
      </c>
      <c r="J25" t="b">
        <v>0</v>
      </c>
      <c r="K25" t="s">
        <v>57</v>
      </c>
      <c r="L25">
        <v>5321</v>
      </c>
      <c r="M25" t="s">
        <v>24</v>
      </c>
      <c r="N25">
        <v>20261105000024</v>
      </c>
      <c r="O25" t="s">
        <v>25</v>
      </c>
      <c r="P25" t="s">
        <v>26</v>
      </c>
      <c r="Q25" t="s">
        <v>27</v>
      </c>
      <c r="R25">
        <v>89.47</v>
      </c>
      <c r="S25">
        <v>91.43</v>
      </c>
    </row>
    <row r="26" spans="1:19">
      <c r="A26" t="s">
        <v>17</v>
      </c>
      <c r="B26" s="1">
        <v>45916</v>
      </c>
      <c r="C26" s="2">
        <v>0.82291666666666663</v>
      </c>
      <c r="D26" t="s">
        <v>28</v>
      </c>
      <c r="E26" t="s">
        <v>19</v>
      </c>
      <c r="F26" s="3">
        <v>0.16805555555555557</v>
      </c>
      <c r="G26" t="s">
        <v>85</v>
      </c>
      <c r="H26" t="s">
        <v>21</v>
      </c>
      <c r="I26" t="s">
        <v>22</v>
      </c>
      <c r="J26" t="b">
        <v>0</v>
      </c>
      <c r="K26" t="s">
        <v>31</v>
      </c>
      <c r="L26">
        <v>3492</v>
      </c>
      <c r="M26" t="s">
        <v>24</v>
      </c>
      <c r="N26">
        <v>20261105000025</v>
      </c>
      <c r="O26" t="s">
        <v>25</v>
      </c>
      <c r="P26" t="s">
        <v>26</v>
      </c>
      <c r="Q26" t="s">
        <v>27</v>
      </c>
      <c r="R26">
        <v>91.3</v>
      </c>
      <c r="S26">
        <v>80.95</v>
      </c>
    </row>
    <row r="27" spans="1:19">
      <c r="A27" t="s">
        <v>17</v>
      </c>
      <c r="B27" s="1">
        <v>45916</v>
      </c>
      <c r="C27" s="2">
        <v>0.82291666666666663</v>
      </c>
      <c r="D27" t="s">
        <v>29</v>
      </c>
      <c r="E27" t="s">
        <v>38</v>
      </c>
      <c r="F27" s="3">
        <v>0.45833333333333331</v>
      </c>
      <c r="G27" t="s">
        <v>86</v>
      </c>
      <c r="H27" t="s">
        <v>21</v>
      </c>
      <c r="I27" t="s">
        <v>22</v>
      </c>
      <c r="J27" t="b">
        <v>0</v>
      </c>
      <c r="K27" t="s">
        <v>70</v>
      </c>
      <c r="L27">
        <v>9525</v>
      </c>
      <c r="M27" t="s">
        <v>50</v>
      </c>
      <c r="N27">
        <v>20261105000026</v>
      </c>
      <c r="O27" t="s">
        <v>25</v>
      </c>
      <c r="P27" t="s">
        <v>26</v>
      </c>
      <c r="Q27" t="s">
        <v>27</v>
      </c>
      <c r="R27">
        <v>100</v>
      </c>
      <c r="S27">
        <v>72.22</v>
      </c>
    </row>
    <row r="28" spans="1:19">
      <c r="A28" t="s">
        <v>17</v>
      </c>
      <c r="B28" s="1">
        <v>45916</v>
      </c>
      <c r="C28" s="2">
        <v>0.82291666666666663</v>
      </c>
      <c r="D28" t="s">
        <v>43</v>
      </c>
      <c r="E28" t="s">
        <v>46</v>
      </c>
      <c r="F28" s="3">
        <v>8.4027777777777785E-2</v>
      </c>
      <c r="G28" t="s">
        <v>87</v>
      </c>
      <c r="H28" t="s">
        <v>21</v>
      </c>
      <c r="I28" t="s">
        <v>22</v>
      </c>
      <c r="J28" t="b">
        <v>0</v>
      </c>
      <c r="K28" t="s">
        <v>72</v>
      </c>
      <c r="L28">
        <v>5100</v>
      </c>
      <c r="M28" t="s">
        <v>24</v>
      </c>
      <c r="N28">
        <v>20261105000027</v>
      </c>
      <c r="O28" t="s">
        <v>25</v>
      </c>
      <c r="P28" t="s">
        <v>26</v>
      </c>
      <c r="Q28" t="s">
        <v>27</v>
      </c>
      <c r="R28">
        <v>97.37</v>
      </c>
      <c r="S28">
        <v>91.3</v>
      </c>
    </row>
    <row r="29" spans="1:19">
      <c r="A29" t="s">
        <v>17</v>
      </c>
      <c r="B29" s="1">
        <v>45916</v>
      </c>
      <c r="C29" s="2">
        <v>0.82291666666666663</v>
      </c>
      <c r="D29" t="s">
        <v>51</v>
      </c>
      <c r="E29" t="s">
        <v>32</v>
      </c>
      <c r="F29" s="3">
        <v>0.1701388888888889</v>
      </c>
      <c r="G29" t="s">
        <v>88</v>
      </c>
      <c r="H29" t="s">
        <v>63</v>
      </c>
      <c r="I29" t="s">
        <v>22</v>
      </c>
      <c r="J29" t="b">
        <v>0</v>
      </c>
      <c r="K29" t="s">
        <v>54</v>
      </c>
      <c r="L29">
        <v>6879</v>
      </c>
      <c r="M29" t="s">
        <v>24</v>
      </c>
      <c r="N29">
        <v>20261105000028</v>
      </c>
      <c r="O29" t="s">
        <v>25</v>
      </c>
      <c r="P29" t="s">
        <v>26</v>
      </c>
      <c r="Q29" t="s">
        <v>27</v>
      </c>
      <c r="R29">
        <v>78.95</v>
      </c>
      <c r="S29">
        <v>84</v>
      </c>
    </row>
    <row r="30" spans="1:19">
      <c r="A30" t="s">
        <v>55</v>
      </c>
      <c r="B30" s="1">
        <v>45918</v>
      </c>
      <c r="C30" s="2">
        <v>0.82291666666666663</v>
      </c>
      <c r="D30" t="s">
        <v>38</v>
      </c>
      <c r="E30" t="s">
        <v>32</v>
      </c>
      <c r="F30" s="3">
        <v>0.12638888888888888</v>
      </c>
      <c r="G30" t="s">
        <v>89</v>
      </c>
      <c r="H30" t="s">
        <v>21</v>
      </c>
      <c r="I30" t="s">
        <v>22</v>
      </c>
      <c r="J30" t="b">
        <v>0</v>
      </c>
      <c r="K30" t="s">
        <v>41</v>
      </c>
      <c r="L30">
        <v>5217</v>
      </c>
      <c r="M30" t="s">
        <v>24</v>
      </c>
      <c r="N30">
        <v>20261105000031</v>
      </c>
      <c r="O30" t="s">
        <v>25</v>
      </c>
      <c r="P30" t="s">
        <v>26</v>
      </c>
      <c r="Q30" t="s">
        <v>27</v>
      </c>
      <c r="R30">
        <v>93.1</v>
      </c>
      <c r="S30">
        <v>86.36</v>
      </c>
    </row>
    <row r="31" spans="1:19">
      <c r="A31" t="s">
        <v>59</v>
      </c>
      <c r="B31" s="1">
        <v>45919</v>
      </c>
      <c r="C31" s="2">
        <v>0.82291666666666663</v>
      </c>
      <c r="D31" t="s">
        <v>18</v>
      </c>
      <c r="E31" t="s">
        <v>46</v>
      </c>
      <c r="F31" s="3">
        <v>8.6805555555555552E-2</v>
      </c>
      <c r="G31" t="s">
        <v>90</v>
      </c>
      <c r="H31" t="s">
        <v>21</v>
      </c>
      <c r="I31" t="s">
        <v>22</v>
      </c>
      <c r="J31" t="b">
        <v>0</v>
      </c>
      <c r="K31" t="s">
        <v>23</v>
      </c>
      <c r="L31">
        <v>6309</v>
      </c>
      <c r="M31" t="s">
        <v>24</v>
      </c>
      <c r="N31">
        <v>20261105000029</v>
      </c>
      <c r="O31" t="s">
        <v>25</v>
      </c>
      <c r="P31" t="s">
        <v>26</v>
      </c>
      <c r="Q31" t="s">
        <v>27</v>
      </c>
      <c r="R31">
        <v>83.33</v>
      </c>
      <c r="S31">
        <v>93.33</v>
      </c>
    </row>
    <row r="32" spans="1:19">
      <c r="A32" t="s">
        <v>59</v>
      </c>
      <c r="B32" s="1">
        <v>45919</v>
      </c>
      <c r="C32" s="2">
        <v>0.82291666666666663</v>
      </c>
      <c r="D32" t="s">
        <v>19</v>
      </c>
      <c r="E32" t="s">
        <v>51</v>
      </c>
      <c r="F32" s="3">
        <v>8.6805555555555552E-2</v>
      </c>
      <c r="G32" t="s">
        <v>91</v>
      </c>
      <c r="H32" t="s">
        <v>21</v>
      </c>
      <c r="I32" t="s">
        <v>22</v>
      </c>
      <c r="J32" t="b">
        <v>0</v>
      </c>
      <c r="K32" t="s">
        <v>66</v>
      </c>
      <c r="L32">
        <v>4482</v>
      </c>
      <c r="M32" t="s">
        <v>24</v>
      </c>
      <c r="N32">
        <v>20261105000032</v>
      </c>
      <c r="O32" t="s">
        <v>25</v>
      </c>
      <c r="P32" t="s">
        <v>26</v>
      </c>
      <c r="Q32" t="s">
        <v>27</v>
      </c>
      <c r="R32">
        <v>88.46</v>
      </c>
      <c r="S32">
        <v>93.1</v>
      </c>
    </row>
    <row r="33" spans="1:19">
      <c r="A33" t="s">
        <v>59</v>
      </c>
      <c r="B33" s="1">
        <v>45919</v>
      </c>
      <c r="C33" s="2">
        <v>0.82291666666666663</v>
      </c>
      <c r="D33" t="s">
        <v>33</v>
      </c>
      <c r="E33" t="s">
        <v>39</v>
      </c>
      <c r="F33" s="3">
        <v>8.3333333333333329E-2</v>
      </c>
      <c r="G33" t="s">
        <v>92</v>
      </c>
      <c r="H33" t="s">
        <v>21</v>
      </c>
      <c r="I33" t="s">
        <v>22</v>
      </c>
      <c r="J33" t="b">
        <v>0</v>
      </c>
      <c r="K33" t="s">
        <v>68</v>
      </c>
      <c r="L33">
        <v>4950</v>
      </c>
      <c r="M33" t="s">
        <v>24</v>
      </c>
      <c r="N33">
        <v>20261105000033</v>
      </c>
      <c r="O33" t="s">
        <v>25</v>
      </c>
      <c r="P33" t="s">
        <v>26</v>
      </c>
      <c r="Q33" t="s">
        <v>27</v>
      </c>
      <c r="R33">
        <v>100</v>
      </c>
      <c r="S33">
        <v>94.29</v>
      </c>
    </row>
    <row r="34" spans="1:19">
      <c r="A34" t="s">
        <v>59</v>
      </c>
      <c r="B34" s="1">
        <v>45919</v>
      </c>
      <c r="C34" s="2">
        <v>0.82291666666666663</v>
      </c>
      <c r="D34" t="s">
        <v>42</v>
      </c>
      <c r="E34" t="s">
        <v>29</v>
      </c>
      <c r="F34" s="3">
        <v>2.7777777777777779E-3</v>
      </c>
      <c r="G34" t="s">
        <v>93</v>
      </c>
      <c r="H34" t="s">
        <v>21</v>
      </c>
      <c r="I34" t="s">
        <v>22</v>
      </c>
      <c r="J34" t="b">
        <v>0</v>
      </c>
      <c r="K34" t="s">
        <v>45</v>
      </c>
      <c r="L34">
        <v>4157</v>
      </c>
      <c r="M34" t="s">
        <v>24</v>
      </c>
      <c r="N34">
        <v>20261105000034</v>
      </c>
      <c r="O34" t="s">
        <v>25</v>
      </c>
      <c r="P34" t="s">
        <v>26</v>
      </c>
      <c r="Q34" t="s">
        <v>27</v>
      </c>
      <c r="R34">
        <v>87.1</v>
      </c>
      <c r="S34">
        <v>100</v>
      </c>
    </row>
    <row r="35" spans="1:19">
      <c r="A35" t="s">
        <v>59</v>
      </c>
      <c r="B35" s="1">
        <v>45919</v>
      </c>
      <c r="C35" s="2">
        <v>0.82291666666666663</v>
      </c>
      <c r="D35" t="s">
        <v>43</v>
      </c>
      <c r="E35" t="s">
        <v>28</v>
      </c>
      <c r="F35" s="3">
        <v>0.12777777777777777</v>
      </c>
      <c r="G35" t="s">
        <v>94</v>
      </c>
      <c r="H35" t="s">
        <v>21</v>
      </c>
      <c r="I35" t="s">
        <v>22</v>
      </c>
      <c r="J35" t="b">
        <v>0</v>
      </c>
      <c r="K35" t="s">
        <v>72</v>
      </c>
      <c r="L35">
        <v>5633</v>
      </c>
      <c r="M35" t="s">
        <v>58</v>
      </c>
      <c r="N35">
        <v>20261105000035</v>
      </c>
      <c r="O35" t="s">
        <v>25</v>
      </c>
      <c r="P35" t="s">
        <v>26</v>
      </c>
      <c r="Q35" t="s">
        <v>27</v>
      </c>
      <c r="R35">
        <v>82.61</v>
      </c>
      <c r="S35">
        <v>90</v>
      </c>
    </row>
    <row r="36" spans="1:19">
      <c r="A36" t="s">
        <v>73</v>
      </c>
      <c r="B36" s="1">
        <v>45920</v>
      </c>
      <c r="C36" s="2">
        <v>0.82291666666666663</v>
      </c>
      <c r="D36" t="s">
        <v>47</v>
      </c>
      <c r="E36" t="s">
        <v>18</v>
      </c>
      <c r="F36" s="3">
        <v>0.12638888888888888</v>
      </c>
      <c r="G36" t="s">
        <v>95</v>
      </c>
      <c r="H36" t="s">
        <v>63</v>
      </c>
      <c r="I36" t="s">
        <v>22</v>
      </c>
      <c r="J36" t="b">
        <v>0</v>
      </c>
      <c r="K36" t="s">
        <v>57</v>
      </c>
      <c r="L36">
        <v>6039</v>
      </c>
      <c r="M36" t="s">
        <v>24</v>
      </c>
      <c r="N36">
        <v>20261105000037</v>
      </c>
      <c r="O36" t="s">
        <v>25</v>
      </c>
      <c r="P36" t="s">
        <v>26</v>
      </c>
      <c r="Q36" t="s">
        <v>27</v>
      </c>
      <c r="R36">
        <v>92.59</v>
      </c>
      <c r="S36">
        <v>94.12</v>
      </c>
    </row>
    <row r="37" spans="1:19">
      <c r="A37" t="s">
        <v>73</v>
      </c>
      <c r="B37" s="1">
        <v>45920</v>
      </c>
      <c r="C37" s="2">
        <v>0.82291666666666663</v>
      </c>
      <c r="D37" t="s">
        <v>28</v>
      </c>
      <c r="E37" t="s">
        <v>33</v>
      </c>
      <c r="F37" s="3">
        <v>8.3333333333333329E-2</v>
      </c>
      <c r="G37" t="s">
        <v>96</v>
      </c>
      <c r="H37" t="s">
        <v>21</v>
      </c>
      <c r="I37" t="s">
        <v>22</v>
      </c>
      <c r="J37" t="b">
        <v>0</v>
      </c>
      <c r="K37" t="s">
        <v>31</v>
      </c>
      <c r="L37">
        <v>4754</v>
      </c>
      <c r="M37" t="s">
        <v>24</v>
      </c>
      <c r="N37">
        <v>20261105000038</v>
      </c>
      <c r="O37" t="s">
        <v>25</v>
      </c>
      <c r="P37" t="s">
        <v>26</v>
      </c>
      <c r="Q37" t="s">
        <v>27</v>
      </c>
      <c r="R37">
        <v>100</v>
      </c>
      <c r="S37">
        <v>93.33</v>
      </c>
    </row>
    <row r="38" spans="1:19">
      <c r="A38" t="s">
        <v>73</v>
      </c>
      <c r="B38" s="1">
        <v>45920</v>
      </c>
      <c r="C38" s="2">
        <v>0.82291666666666663</v>
      </c>
      <c r="D38" t="s">
        <v>32</v>
      </c>
      <c r="E38" t="s">
        <v>43</v>
      </c>
      <c r="F38" s="3">
        <v>0.20972222222222223</v>
      </c>
      <c r="G38" t="s">
        <v>97</v>
      </c>
      <c r="H38" t="s">
        <v>21</v>
      </c>
      <c r="I38" t="s">
        <v>22</v>
      </c>
      <c r="J38" t="b">
        <v>0</v>
      </c>
      <c r="K38" t="s">
        <v>36</v>
      </c>
      <c r="L38">
        <v>9280</v>
      </c>
      <c r="M38" t="s">
        <v>24</v>
      </c>
      <c r="N38">
        <v>20261105000039</v>
      </c>
      <c r="O38" t="s">
        <v>25</v>
      </c>
      <c r="P38" t="s">
        <v>26</v>
      </c>
      <c r="Q38" t="s">
        <v>27</v>
      </c>
      <c r="R38">
        <v>90.91</v>
      </c>
      <c r="S38">
        <v>86.49</v>
      </c>
    </row>
    <row r="39" spans="1:19">
      <c r="A39" t="s">
        <v>73</v>
      </c>
      <c r="B39" s="1">
        <v>45920</v>
      </c>
      <c r="C39" s="2">
        <v>0.82291666666666663</v>
      </c>
      <c r="D39" t="s">
        <v>29</v>
      </c>
      <c r="E39" t="s">
        <v>19</v>
      </c>
      <c r="F39" s="3">
        <v>0.12847222222222221</v>
      </c>
      <c r="G39" t="s">
        <v>98</v>
      </c>
      <c r="H39" t="s">
        <v>21</v>
      </c>
      <c r="I39" t="s">
        <v>22</v>
      </c>
      <c r="J39" t="b">
        <v>0</v>
      </c>
      <c r="K39" t="s">
        <v>70</v>
      </c>
      <c r="L39">
        <v>8933</v>
      </c>
      <c r="M39" t="s">
        <v>24</v>
      </c>
      <c r="N39">
        <v>20261105000040</v>
      </c>
      <c r="O39" t="s">
        <v>25</v>
      </c>
      <c r="P39" t="s">
        <v>26</v>
      </c>
      <c r="Q39" t="s">
        <v>27</v>
      </c>
      <c r="R39">
        <v>75</v>
      </c>
      <c r="S39">
        <v>92.31</v>
      </c>
    </row>
    <row r="40" spans="1:19">
      <c r="A40" t="s">
        <v>73</v>
      </c>
      <c r="B40" s="1">
        <v>45920</v>
      </c>
      <c r="C40" s="2">
        <v>0.82291666666666663</v>
      </c>
      <c r="D40" t="s">
        <v>46</v>
      </c>
      <c r="E40" t="s">
        <v>38</v>
      </c>
      <c r="F40" s="3">
        <v>8.611111111111111E-2</v>
      </c>
      <c r="G40" t="s">
        <v>99</v>
      </c>
      <c r="H40" t="s">
        <v>21</v>
      </c>
      <c r="I40" t="s">
        <v>22</v>
      </c>
      <c r="J40" t="b">
        <v>0</v>
      </c>
      <c r="K40" t="s">
        <v>49</v>
      </c>
      <c r="L40">
        <v>10177</v>
      </c>
      <c r="M40" t="s">
        <v>24</v>
      </c>
      <c r="N40">
        <v>20261105000041</v>
      </c>
      <c r="O40" t="s">
        <v>25</v>
      </c>
      <c r="P40" t="s">
        <v>26</v>
      </c>
      <c r="Q40" t="s">
        <v>27</v>
      </c>
      <c r="R40">
        <v>91.3</v>
      </c>
      <c r="S40">
        <v>93.1</v>
      </c>
    </row>
    <row r="41" spans="1:19">
      <c r="A41" t="s">
        <v>73</v>
      </c>
      <c r="B41" s="1">
        <v>45920</v>
      </c>
      <c r="C41" s="2">
        <v>0.82291666666666663</v>
      </c>
      <c r="D41" t="s">
        <v>51</v>
      </c>
      <c r="E41" t="s">
        <v>42</v>
      </c>
      <c r="F41" s="3">
        <v>4.1666666666666666E-3</v>
      </c>
      <c r="G41" t="s">
        <v>100</v>
      </c>
      <c r="H41" t="s">
        <v>21</v>
      </c>
      <c r="I41" t="s">
        <v>22</v>
      </c>
      <c r="J41" t="b">
        <v>0</v>
      </c>
      <c r="K41" t="s">
        <v>54</v>
      </c>
      <c r="L41">
        <v>6992</v>
      </c>
      <c r="M41" t="s">
        <v>24</v>
      </c>
      <c r="N41">
        <v>20261105000042</v>
      </c>
      <c r="O41" t="s">
        <v>25</v>
      </c>
      <c r="P41" t="s">
        <v>26</v>
      </c>
      <c r="Q41" t="s">
        <v>27</v>
      </c>
      <c r="R41">
        <v>75</v>
      </c>
      <c r="S41">
        <v>100</v>
      </c>
    </row>
    <row r="42" spans="1:19">
      <c r="A42" t="s">
        <v>73</v>
      </c>
      <c r="B42" s="1">
        <v>45920</v>
      </c>
      <c r="C42" s="2">
        <v>0.82638888888888884</v>
      </c>
      <c r="D42" t="s">
        <v>39</v>
      </c>
      <c r="E42" t="s">
        <v>52</v>
      </c>
      <c r="F42" s="3">
        <v>0.16666666666666666</v>
      </c>
      <c r="G42" t="s">
        <v>101</v>
      </c>
      <c r="H42" t="s">
        <v>21</v>
      </c>
      <c r="I42" t="s">
        <v>22</v>
      </c>
      <c r="J42" t="b">
        <v>0</v>
      </c>
      <c r="K42" t="s">
        <v>61</v>
      </c>
      <c r="L42">
        <v>4204</v>
      </c>
      <c r="M42" t="s">
        <v>24</v>
      </c>
      <c r="N42">
        <v>20261105000036</v>
      </c>
      <c r="O42" t="s">
        <v>25</v>
      </c>
      <c r="P42" t="s">
        <v>26</v>
      </c>
      <c r="Q42" t="s">
        <v>27</v>
      </c>
      <c r="R42">
        <v>100</v>
      </c>
      <c r="S42">
        <v>84.21</v>
      </c>
    </row>
    <row r="43" spans="1:19">
      <c r="A43" t="s">
        <v>17</v>
      </c>
      <c r="B43" s="1">
        <v>45923</v>
      </c>
      <c r="C43" s="2">
        <v>0.82291666666666663</v>
      </c>
      <c r="D43" t="s">
        <v>32</v>
      </c>
      <c r="E43" t="s">
        <v>46</v>
      </c>
      <c r="F43" s="3">
        <v>0.12638888888888888</v>
      </c>
      <c r="G43" t="s">
        <v>102</v>
      </c>
      <c r="H43" t="s">
        <v>63</v>
      </c>
      <c r="I43" t="s">
        <v>22</v>
      </c>
      <c r="J43" t="b">
        <v>0</v>
      </c>
      <c r="K43" t="s">
        <v>36</v>
      </c>
      <c r="L43">
        <v>9280</v>
      </c>
      <c r="M43" t="s">
        <v>24</v>
      </c>
      <c r="N43">
        <v>20261105000043</v>
      </c>
      <c r="O43" t="s">
        <v>25</v>
      </c>
      <c r="P43" t="s">
        <v>26</v>
      </c>
      <c r="Q43" t="s">
        <v>27</v>
      </c>
      <c r="R43">
        <v>92</v>
      </c>
      <c r="S43">
        <v>93.1</v>
      </c>
    </row>
    <row r="44" spans="1:19">
      <c r="A44" t="s">
        <v>17</v>
      </c>
      <c r="B44" s="1">
        <v>45923</v>
      </c>
      <c r="C44" s="2">
        <v>0.82291666666666663</v>
      </c>
      <c r="D44" t="s">
        <v>38</v>
      </c>
      <c r="E44" t="s">
        <v>18</v>
      </c>
      <c r="F44" s="3">
        <v>0.21111111111111111</v>
      </c>
      <c r="G44" t="s">
        <v>103</v>
      </c>
      <c r="H44" t="s">
        <v>21</v>
      </c>
      <c r="I44" t="s">
        <v>22</v>
      </c>
      <c r="J44" t="b">
        <v>0</v>
      </c>
      <c r="K44" t="s">
        <v>41</v>
      </c>
      <c r="L44">
        <v>5063</v>
      </c>
      <c r="M44" t="s">
        <v>24</v>
      </c>
      <c r="N44">
        <v>20261105000044</v>
      </c>
      <c r="O44" t="s">
        <v>25</v>
      </c>
      <c r="P44" t="s">
        <v>26</v>
      </c>
      <c r="Q44" t="s">
        <v>27</v>
      </c>
      <c r="R44">
        <v>82.61</v>
      </c>
      <c r="S44">
        <v>84.85</v>
      </c>
    </row>
    <row r="45" spans="1:19">
      <c r="A45" t="s">
        <v>17</v>
      </c>
      <c r="B45" s="1">
        <v>45923</v>
      </c>
      <c r="C45" s="2">
        <v>0.82291666666666663</v>
      </c>
      <c r="D45" t="s">
        <v>19</v>
      </c>
      <c r="E45" t="s">
        <v>39</v>
      </c>
      <c r="F45" s="3">
        <v>8.4027777777777785E-2</v>
      </c>
      <c r="G45" t="s">
        <v>104</v>
      </c>
      <c r="H45" t="s">
        <v>35</v>
      </c>
      <c r="I45" t="s">
        <v>22</v>
      </c>
      <c r="J45" t="b">
        <v>0</v>
      </c>
      <c r="K45" t="s">
        <v>66</v>
      </c>
      <c r="L45">
        <v>3725</v>
      </c>
      <c r="M45" t="s">
        <v>24</v>
      </c>
      <c r="N45">
        <v>20261105000045</v>
      </c>
      <c r="O45" t="s">
        <v>25</v>
      </c>
      <c r="P45" t="s">
        <v>26</v>
      </c>
      <c r="Q45" t="s">
        <v>27</v>
      </c>
      <c r="R45">
        <v>95</v>
      </c>
      <c r="S45">
        <v>94.12</v>
      </c>
    </row>
    <row r="46" spans="1:19">
      <c r="A46" t="s">
        <v>17</v>
      </c>
      <c r="B46" s="1">
        <v>45923</v>
      </c>
      <c r="C46" s="2">
        <v>0.82291666666666663</v>
      </c>
      <c r="D46" t="s">
        <v>33</v>
      </c>
      <c r="E46" t="s">
        <v>52</v>
      </c>
      <c r="F46" s="3">
        <v>2.0833333333333333E-3</v>
      </c>
      <c r="G46" t="s">
        <v>105</v>
      </c>
      <c r="H46" t="s">
        <v>21</v>
      </c>
      <c r="I46" t="s">
        <v>22</v>
      </c>
      <c r="J46" t="b">
        <v>0</v>
      </c>
      <c r="K46" t="s">
        <v>68</v>
      </c>
      <c r="L46">
        <v>4545</v>
      </c>
      <c r="M46" t="s">
        <v>24</v>
      </c>
      <c r="N46">
        <v>20261105000046</v>
      </c>
      <c r="O46" t="s">
        <v>25</v>
      </c>
      <c r="P46" t="s">
        <v>26</v>
      </c>
      <c r="Q46" t="s">
        <v>27</v>
      </c>
      <c r="R46">
        <v>92.5</v>
      </c>
      <c r="S46">
        <v>100</v>
      </c>
    </row>
    <row r="47" spans="1:19">
      <c r="A47" t="s">
        <v>17</v>
      </c>
      <c r="B47" s="1">
        <v>45923</v>
      </c>
      <c r="C47" s="2">
        <v>0.82291666666666663</v>
      </c>
      <c r="D47" t="s">
        <v>29</v>
      </c>
      <c r="E47" t="s">
        <v>43</v>
      </c>
      <c r="F47" s="3">
        <v>0.1673611111111111</v>
      </c>
      <c r="G47" t="s">
        <v>106</v>
      </c>
      <c r="H47" t="s">
        <v>21</v>
      </c>
      <c r="I47" t="s">
        <v>22</v>
      </c>
      <c r="J47" t="b">
        <v>0</v>
      </c>
      <c r="K47" t="s">
        <v>70</v>
      </c>
      <c r="L47">
        <v>7718</v>
      </c>
      <c r="M47" t="s">
        <v>24</v>
      </c>
      <c r="N47">
        <v>20261105000047</v>
      </c>
      <c r="O47" t="s">
        <v>25</v>
      </c>
      <c r="P47" t="s">
        <v>26</v>
      </c>
      <c r="Q47" t="s">
        <v>27</v>
      </c>
      <c r="R47">
        <v>94.74</v>
      </c>
      <c r="S47">
        <v>90.7</v>
      </c>
    </row>
    <row r="48" spans="1:19">
      <c r="A48" t="s">
        <v>17</v>
      </c>
      <c r="B48" s="1">
        <v>45923</v>
      </c>
      <c r="C48" s="2">
        <v>0.82291666666666663</v>
      </c>
      <c r="D48" t="s">
        <v>42</v>
      </c>
      <c r="E48" t="s">
        <v>47</v>
      </c>
      <c r="F48" s="3">
        <v>0.20972222222222223</v>
      </c>
      <c r="G48" t="s">
        <v>107</v>
      </c>
      <c r="H48" t="s">
        <v>21</v>
      </c>
      <c r="I48" t="s">
        <v>22</v>
      </c>
      <c r="J48" t="b">
        <v>0</v>
      </c>
      <c r="K48" t="s">
        <v>45</v>
      </c>
      <c r="L48">
        <v>3854</v>
      </c>
      <c r="M48" t="s">
        <v>24</v>
      </c>
      <c r="N48">
        <v>20261105000048</v>
      </c>
      <c r="O48" t="s">
        <v>25</v>
      </c>
      <c r="P48" t="s">
        <v>26</v>
      </c>
      <c r="Q48" t="s">
        <v>27</v>
      </c>
      <c r="R48">
        <v>92.31</v>
      </c>
      <c r="S48">
        <v>88.24</v>
      </c>
    </row>
    <row r="49" spans="1:19">
      <c r="A49" t="s">
        <v>17</v>
      </c>
      <c r="B49" s="1">
        <v>45923</v>
      </c>
      <c r="C49" s="2">
        <v>0.82291666666666663</v>
      </c>
      <c r="D49" t="s">
        <v>51</v>
      </c>
      <c r="E49" t="s">
        <v>28</v>
      </c>
      <c r="F49" s="3">
        <v>0.12777777777777777</v>
      </c>
      <c r="G49" t="s">
        <v>108</v>
      </c>
      <c r="H49" t="s">
        <v>63</v>
      </c>
      <c r="I49" t="s">
        <v>22</v>
      </c>
      <c r="J49" t="b">
        <v>0</v>
      </c>
      <c r="K49" t="s">
        <v>54</v>
      </c>
      <c r="L49">
        <v>7450</v>
      </c>
      <c r="M49" t="s">
        <v>24</v>
      </c>
      <c r="N49">
        <v>20261105000049</v>
      </c>
      <c r="O49" t="s">
        <v>25</v>
      </c>
      <c r="P49" t="s">
        <v>26</v>
      </c>
      <c r="Q49" t="s">
        <v>27</v>
      </c>
      <c r="R49">
        <v>91.43</v>
      </c>
      <c r="S49">
        <v>89.66</v>
      </c>
    </row>
    <row r="50" spans="1:19">
      <c r="A50" t="s">
        <v>59</v>
      </c>
      <c r="B50" s="1">
        <v>45926</v>
      </c>
      <c r="C50" s="2">
        <v>0.82291666666666663</v>
      </c>
      <c r="D50" t="s">
        <v>39</v>
      </c>
      <c r="E50" t="s">
        <v>32</v>
      </c>
      <c r="F50" s="3">
        <v>8.6805555555555552E-2</v>
      </c>
      <c r="G50" t="s">
        <v>109</v>
      </c>
      <c r="H50" t="s">
        <v>21</v>
      </c>
      <c r="I50" t="s">
        <v>22</v>
      </c>
      <c r="J50" t="b">
        <v>0</v>
      </c>
      <c r="K50" t="s">
        <v>61</v>
      </c>
      <c r="L50">
        <v>4575</v>
      </c>
      <c r="M50" t="s">
        <v>24</v>
      </c>
      <c r="N50">
        <v>20261105000050</v>
      </c>
      <c r="O50" t="s">
        <v>25</v>
      </c>
      <c r="P50" t="s">
        <v>26</v>
      </c>
      <c r="Q50" t="s">
        <v>27</v>
      </c>
      <c r="R50">
        <v>81.48</v>
      </c>
      <c r="S50">
        <v>93.33</v>
      </c>
    </row>
    <row r="51" spans="1:19">
      <c r="A51" t="s">
        <v>59</v>
      </c>
      <c r="B51" s="1">
        <v>45926</v>
      </c>
      <c r="C51" s="2">
        <v>0.82291666666666663</v>
      </c>
      <c r="D51" t="s">
        <v>18</v>
      </c>
      <c r="E51" t="s">
        <v>51</v>
      </c>
      <c r="F51" s="3">
        <v>2.7777777777777779E-3</v>
      </c>
      <c r="G51" t="s">
        <v>110</v>
      </c>
      <c r="H51" t="s">
        <v>21</v>
      </c>
      <c r="I51" t="s">
        <v>22</v>
      </c>
      <c r="J51" t="b">
        <v>0</v>
      </c>
      <c r="K51" t="s">
        <v>23</v>
      </c>
      <c r="L51">
        <v>6328</v>
      </c>
      <c r="M51" t="s">
        <v>24</v>
      </c>
      <c r="N51">
        <v>20261105000051</v>
      </c>
      <c r="O51" t="s">
        <v>25</v>
      </c>
      <c r="P51" t="s">
        <v>26</v>
      </c>
      <c r="Q51" t="s">
        <v>27</v>
      </c>
      <c r="R51">
        <v>87.5</v>
      </c>
      <c r="S51">
        <v>100</v>
      </c>
    </row>
    <row r="52" spans="1:19">
      <c r="A52" t="s">
        <v>59</v>
      </c>
      <c r="B52" s="1">
        <v>45926</v>
      </c>
      <c r="C52" s="2">
        <v>0.82291666666666663</v>
      </c>
      <c r="D52" t="s">
        <v>52</v>
      </c>
      <c r="E52" t="s">
        <v>19</v>
      </c>
      <c r="F52" s="3">
        <v>6.9444444444444447E-4</v>
      </c>
      <c r="G52" t="s">
        <v>111</v>
      </c>
      <c r="H52" t="s">
        <v>21</v>
      </c>
      <c r="I52" t="s">
        <v>22</v>
      </c>
      <c r="J52" t="b">
        <v>0</v>
      </c>
      <c r="K52" t="s">
        <v>64</v>
      </c>
      <c r="L52">
        <v>15421</v>
      </c>
      <c r="M52" t="s">
        <v>24</v>
      </c>
      <c r="N52">
        <v>20261105000052</v>
      </c>
      <c r="O52" t="s">
        <v>25</v>
      </c>
      <c r="P52" t="s">
        <v>26</v>
      </c>
      <c r="Q52" t="s">
        <v>27</v>
      </c>
      <c r="R52">
        <v>95</v>
      </c>
      <c r="S52">
        <v>100</v>
      </c>
    </row>
    <row r="53" spans="1:19">
      <c r="A53" t="s">
        <v>59</v>
      </c>
      <c r="B53" s="1">
        <v>45926</v>
      </c>
      <c r="C53" s="2">
        <v>0.82291666666666663</v>
      </c>
      <c r="D53" t="s">
        <v>38</v>
      </c>
      <c r="E53" t="s">
        <v>42</v>
      </c>
      <c r="F53" s="3">
        <v>0.12777777777777777</v>
      </c>
      <c r="G53" t="s">
        <v>112</v>
      </c>
      <c r="H53" t="s">
        <v>21</v>
      </c>
      <c r="I53" t="s">
        <v>22</v>
      </c>
      <c r="J53" t="b">
        <v>0</v>
      </c>
      <c r="K53" t="s">
        <v>41</v>
      </c>
      <c r="L53">
        <v>5387</v>
      </c>
      <c r="M53" t="s">
        <v>24</v>
      </c>
      <c r="N53">
        <v>20261105000053</v>
      </c>
      <c r="O53" t="s">
        <v>25</v>
      </c>
      <c r="P53" t="s">
        <v>26</v>
      </c>
      <c r="Q53" t="s">
        <v>27</v>
      </c>
      <c r="R53">
        <v>82.61</v>
      </c>
      <c r="S53">
        <v>91.67</v>
      </c>
    </row>
    <row r="54" spans="1:19">
      <c r="A54" t="s">
        <v>59</v>
      </c>
      <c r="B54" s="1">
        <v>45926</v>
      </c>
      <c r="C54" s="2">
        <v>0.82291666666666663</v>
      </c>
      <c r="D54" t="s">
        <v>33</v>
      </c>
      <c r="E54" t="s">
        <v>29</v>
      </c>
      <c r="F54" s="3">
        <v>0.1701388888888889</v>
      </c>
      <c r="G54" t="s">
        <v>113</v>
      </c>
      <c r="H54" t="s">
        <v>21</v>
      </c>
      <c r="I54" t="s">
        <v>22</v>
      </c>
      <c r="J54" t="b">
        <v>0</v>
      </c>
      <c r="K54" t="s">
        <v>68</v>
      </c>
      <c r="L54">
        <v>4702</v>
      </c>
      <c r="M54" t="s">
        <v>24</v>
      </c>
      <c r="N54">
        <v>20261105000054</v>
      </c>
      <c r="O54" t="s">
        <v>25</v>
      </c>
      <c r="P54" t="s">
        <v>26</v>
      </c>
      <c r="Q54" t="s">
        <v>27</v>
      </c>
      <c r="R54">
        <v>85.29</v>
      </c>
      <c r="S54">
        <v>87.1</v>
      </c>
    </row>
    <row r="55" spans="1:19">
      <c r="A55" t="s">
        <v>59</v>
      </c>
      <c r="B55" s="1">
        <v>45926</v>
      </c>
      <c r="C55" s="2">
        <v>0.82291666666666663</v>
      </c>
      <c r="D55" t="s">
        <v>43</v>
      </c>
      <c r="E55" t="s">
        <v>47</v>
      </c>
      <c r="F55" s="3">
        <v>0.12777777777777777</v>
      </c>
      <c r="G55" t="s">
        <v>114</v>
      </c>
      <c r="H55" t="s">
        <v>63</v>
      </c>
      <c r="I55" t="s">
        <v>22</v>
      </c>
      <c r="J55" t="b">
        <v>0</v>
      </c>
      <c r="K55" t="s">
        <v>72</v>
      </c>
      <c r="L55">
        <v>5605</v>
      </c>
      <c r="M55" t="s">
        <v>58</v>
      </c>
      <c r="N55">
        <v>20261105000055</v>
      </c>
      <c r="O55" t="s">
        <v>25</v>
      </c>
      <c r="P55" t="s">
        <v>26</v>
      </c>
      <c r="Q55" t="s">
        <v>27</v>
      </c>
      <c r="R55">
        <v>90.62</v>
      </c>
      <c r="S55">
        <v>92.11</v>
      </c>
    </row>
    <row r="56" spans="1:19">
      <c r="A56" t="s">
        <v>59</v>
      </c>
      <c r="B56" s="1">
        <v>45926</v>
      </c>
      <c r="C56" s="2">
        <v>0.82291666666666663</v>
      </c>
      <c r="D56" t="s">
        <v>46</v>
      </c>
      <c r="E56" t="s">
        <v>28</v>
      </c>
      <c r="F56" s="3">
        <v>8.6805555555555552E-2</v>
      </c>
      <c r="G56" t="s">
        <v>115</v>
      </c>
      <c r="H56" t="s">
        <v>21</v>
      </c>
      <c r="I56" t="s">
        <v>22</v>
      </c>
      <c r="J56" t="b">
        <v>0</v>
      </c>
      <c r="K56" t="s">
        <v>49</v>
      </c>
      <c r="L56">
        <v>12000</v>
      </c>
      <c r="M56" t="s">
        <v>24</v>
      </c>
      <c r="N56">
        <v>20261105000056</v>
      </c>
      <c r="O56" t="s">
        <v>25</v>
      </c>
      <c r="P56" t="s">
        <v>26</v>
      </c>
      <c r="Q56" t="s">
        <v>27</v>
      </c>
      <c r="R56">
        <v>80.95</v>
      </c>
      <c r="S56">
        <v>93.33</v>
      </c>
    </row>
    <row r="57" spans="1:19">
      <c r="A57" t="s">
        <v>73</v>
      </c>
      <c r="B57" s="1">
        <v>45927</v>
      </c>
      <c r="C57" s="2">
        <v>0.82291666666666663</v>
      </c>
      <c r="D57" t="s">
        <v>47</v>
      </c>
      <c r="E57" t="s">
        <v>39</v>
      </c>
      <c r="F57" s="3">
        <v>0.21111111111111111</v>
      </c>
      <c r="G57" t="s">
        <v>116</v>
      </c>
      <c r="H57" t="s">
        <v>63</v>
      </c>
      <c r="I57" t="s">
        <v>22</v>
      </c>
      <c r="J57" t="b">
        <v>0</v>
      </c>
      <c r="K57" t="s">
        <v>57</v>
      </c>
      <c r="L57">
        <v>6151</v>
      </c>
      <c r="M57" t="s">
        <v>24</v>
      </c>
      <c r="N57">
        <v>20261105000057</v>
      </c>
      <c r="O57" t="s">
        <v>25</v>
      </c>
      <c r="P57" t="s">
        <v>26</v>
      </c>
      <c r="Q57" t="s">
        <v>27</v>
      </c>
      <c r="R57">
        <v>75</v>
      </c>
      <c r="S57">
        <v>91.49</v>
      </c>
    </row>
    <row r="58" spans="1:19">
      <c r="A58" t="s">
        <v>73</v>
      </c>
      <c r="B58" s="1">
        <v>45927</v>
      </c>
      <c r="C58" s="2">
        <v>0.82291666666666663</v>
      </c>
      <c r="D58" t="s">
        <v>28</v>
      </c>
      <c r="E58" t="s">
        <v>38</v>
      </c>
      <c r="F58" s="3">
        <v>0.12638888888888888</v>
      </c>
      <c r="G58" t="s">
        <v>117</v>
      </c>
      <c r="H58" t="s">
        <v>63</v>
      </c>
      <c r="I58" t="s">
        <v>22</v>
      </c>
      <c r="J58" t="b">
        <v>0</v>
      </c>
      <c r="K58" t="s">
        <v>31</v>
      </c>
      <c r="L58">
        <v>4914</v>
      </c>
      <c r="M58" t="s">
        <v>24</v>
      </c>
      <c r="N58">
        <v>20261105000058</v>
      </c>
      <c r="O58" t="s">
        <v>25</v>
      </c>
      <c r="P58" t="s">
        <v>26</v>
      </c>
      <c r="Q58" t="s">
        <v>27</v>
      </c>
      <c r="R58">
        <v>94.59</v>
      </c>
      <c r="S58">
        <v>94.12</v>
      </c>
    </row>
    <row r="59" spans="1:19">
      <c r="A59" t="s">
        <v>73</v>
      </c>
      <c r="B59" s="1">
        <v>45927</v>
      </c>
      <c r="C59" s="2">
        <v>0.82291666666666663</v>
      </c>
      <c r="D59" t="s">
        <v>32</v>
      </c>
      <c r="E59" t="s">
        <v>18</v>
      </c>
      <c r="F59" s="3">
        <v>0.12569444444444444</v>
      </c>
      <c r="G59" t="s">
        <v>118</v>
      </c>
      <c r="H59" t="s">
        <v>21</v>
      </c>
      <c r="I59" t="s">
        <v>22</v>
      </c>
      <c r="J59" t="b">
        <v>0</v>
      </c>
      <c r="K59" t="s">
        <v>36</v>
      </c>
      <c r="L59">
        <v>9280</v>
      </c>
      <c r="M59" t="s">
        <v>24</v>
      </c>
      <c r="N59">
        <v>20261105000059</v>
      </c>
      <c r="O59" t="s">
        <v>25</v>
      </c>
      <c r="P59" t="s">
        <v>26</v>
      </c>
      <c r="Q59" t="s">
        <v>27</v>
      </c>
      <c r="R59">
        <v>94.74</v>
      </c>
      <c r="S59">
        <v>93.1</v>
      </c>
    </row>
    <row r="60" spans="1:19">
      <c r="A60" t="s">
        <v>73</v>
      </c>
      <c r="B60" s="1">
        <v>45927</v>
      </c>
      <c r="C60" s="2">
        <v>0.82291666666666663</v>
      </c>
      <c r="D60" t="s">
        <v>19</v>
      </c>
      <c r="E60" t="s">
        <v>43</v>
      </c>
      <c r="F60" s="3">
        <v>8.5416666666666669E-2</v>
      </c>
      <c r="G60" t="s">
        <v>119</v>
      </c>
      <c r="H60" t="s">
        <v>63</v>
      </c>
      <c r="I60" t="s">
        <v>22</v>
      </c>
      <c r="J60" t="b">
        <v>0</v>
      </c>
      <c r="K60" t="s">
        <v>66</v>
      </c>
      <c r="L60">
        <v>4209</v>
      </c>
      <c r="M60" t="s">
        <v>24</v>
      </c>
      <c r="N60">
        <v>20261105000060</v>
      </c>
      <c r="O60" t="s">
        <v>25</v>
      </c>
      <c r="P60" t="s">
        <v>26</v>
      </c>
      <c r="Q60" t="s">
        <v>27</v>
      </c>
      <c r="R60">
        <v>93.55</v>
      </c>
      <c r="S60">
        <v>92.59</v>
      </c>
    </row>
    <row r="61" spans="1:19">
      <c r="A61" t="s">
        <v>73</v>
      </c>
      <c r="B61" s="1">
        <v>45927</v>
      </c>
      <c r="C61" s="2">
        <v>0.82291666666666663</v>
      </c>
      <c r="D61" t="s">
        <v>42</v>
      </c>
      <c r="E61" t="s">
        <v>33</v>
      </c>
      <c r="F61" s="3">
        <v>4.4444444444444446E-2</v>
      </c>
      <c r="G61" t="s">
        <v>120</v>
      </c>
      <c r="H61" t="s">
        <v>21</v>
      </c>
      <c r="I61" t="s">
        <v>22</v>
      </c>
      <c r="J61" t="b">
        <v>0</v>
      </c>
      <c r="K61" t="s">
        <v>45</v>
      </c>
      <c r="L61">
        <v>4938</v>
      </c>
      <c r="M61" t="s">
        <v>24</v>
      </c>
      <c r="N61">
        <v>20261105000062</v>
      </c>
      <c r="O61" t="s">
        <v>25</v>
      </c>
      <c r="P61" t="s">
        <v>26</v>
      </c>
      <c r="Q61" t="s">
        <v>27</v>
      </c>
      <c r="R61">
        <v>93.1</v>
      </c>
      <c r="S61">
        <v>97.06</v>
      </c>
    </row>
    <row r="62" spans="1:19">
      <c r="A62" t="s">
        <v>73</v>
      </c>
      <c r="B62" s="1">
        <v>45927</v>
      </c>
      <c r="C62" s="2">
        <v>0.82291666666666663</v>
      </c>
      <c r="D62" t="s">
        <v>51</v>
      </c>
      <c r="E62" t="s">
        <v>46</v>
      </c>
      <c r="F62" s="3">
        <v>8.4027777777777785E-2</v>
      </c>
      <c r="G62" t="s">
        <v>121</v>
      </c>
      <c r="H62" t="s">
        <v>35</v>
      </c>
      <c r="I62" t="s">
        <v>22</v>
      </c>
      <c r="J62" t="b">
        <v>0</v>
      </c>
      <c r="K62" t="s">
        <v>54</v>
      </c>
      <c r="L62">
        <v>7450</v>
      </c>
      <c r="M62" t="s">
        <v>58</v>
      </c>
      <c r="N62">
        <v>20261105000063</v>
      </c>
      <c r="O62" t="s">
        <v>25</v>
      </c>
      <c r="P62" t="s">
        <v>26</v>
      </c>
      <c r="Q62" t="s">
        <v>27</v>
      </c>
      <c r="R62">
        <v>95.83</v>
      </c>
      <c r="S62">
        <v>91.3</v>
      </c>
    </row>
    <row r="63" spans="1:19">
      <c r="A63" t="s">
        <v>80</v>
      </c>
      <c r="B63" s="1">
        <v>45928</v>
      </c>
      <c r="C63" s="2">
        <v>0.58333333333333337</v>
      </c>
      <c r="D63" t="s">
        <v>29</v>
      </c>
      <c r="E63" t="s">
        <v>52</v>
      </c>
      <c r="F63" s="3">
        <v>0.25208333333333333</v>
      </c>
      <c r="G63" t="s">
        <v>122</v>
      </c>
      <c r="H63" t="s">
        <v>21</v>
      </c>
      <c r="I63" t="s">
        <v>22</v>
      </c>
      <c r="J63" t="b">
        <v>0</v>
      </c>
      <c r="K63" t="s">
        <v>70</v>
      </c>
      <c r="L63">
        <v>9600</v>
      </c>
      <c r="M63" t="s">
        <v>24</v>
      </c>
      <c r="N63">
        <v>20261105000061</v>
      </c>
      <c r="O63" t="s">
        <v>25</v>
      </c>
      <c r="P63" t="s">
        <v>26</v>
      </c>
      <c r="Q63" t="s">
        <v>27</v>
      </c>
      <c r="R63">
        <v>91.43</v>
      </c>
      <c r="S63">
        <v>80.77</v>
      </c>
    </row>
    <row r="64" spans="1:19">
      <c r="A64" t="s">
        <v>17</v>
      </c>
      <c r="B64" s="1">
        <v>45930</v>
      </c>
      <c r="C64" s="2">
        <v>0.82291666666666663</v>
      </c>
      <c r="D64" t="s">
        <v>39</v>
      </c>
      <c r="E64" t="s">
        <v>29</v>
      </c>
      <c r="F64" s="3">
        <v>4.3055555555555555E-2</v>
      </c>
      <c r="G64" t="s">
        <v>123</v>
      </c>
      <c r="H64" t="s">
        <v>21</v>
      </c>
      <c r="I64" t="s">
        <v>22</v>
      </c>
      <c r="J64" t="b">
        <v>0</v>
      </c>
      <c r="K64" t="s">
        <v>61</v>
      </c>
      <c r="L64">
        <v>3761</v>
      </c>
      <c r="M64" t="s">
        <v>24</v>
      </c>
      <c r="N64">
        <v>20261105000064</v>
      </c>
      <c r="O64" t="s">
        <v>25</v>
      </c>
      <c r="P64" t="s">
        <v>26</v>
      </c>
      <c r="Q64" t="s">
        <v>27</v>
      </c>
      <c r="R64">
        <v>92.31</v>
      </c>
      <c r="S64">
        <v>95.65</v>
      </c>
    </row>
    <row r="65" spans="1:19">
      <c r="A65" t="s">
        <v>17</v>
      </c>
      <c r="B65" s="1">
        <v>45930</v>
      </c>
      <c r="C65" s="2">
        <v>0.82291666666666663</v>
      </c>
      <c r="D65" t="s">
        <v>52</v>
      </c>
      <c r="E65" t="s">
        <v>32</v>
      </c>
      <c r="F65" s="3">
        <v>4.5138888888888888E-2</v>
      </c>
      <c r="G65" t="s">
        <v>124</v>
      </c>
      <c r="H65" t="s">
        <v>21</v>
      </c>
      <c r="I65" t="s">
        <v>22</v>
      </c>
      <c r="J65" t="b">
        <v>0</v>
      </c>
      <c r="K65" t="s">
        <v>64</v>
      </c>
      <c r="L65">
        <v>15093</v>
      </c>
      <c r="M65" t="s">
        <v>50</v>
      </c>
      <c r="N65">
        <v>20261105000065</v>
      </c>
      <c r="O65" t="s">
        <v>25</v>
      </c>
      <c r="P65" t="s">
        <v>26</v>
      </c>
      <c r="Q65" t="s">
        <v>27</v>
      </c>
      <c r="R65">
        <v>76.19</v>
      </c>
      <c r="S65">
        <v>95.24</v>
      </c>
    </row>
    <row r="66" spans="1:19">
      <c r="A66" t="s">
        <v>17</v>
      </c>
      <c r="B66" s="1">
        <v>45930</v>
      </c>
      <c r="C66" s="2">
        <v>0.82291666666666663</v>
      </c>
      <c r="D66" t="s">
        <v>47</v>
      </c>
      <c r="E66" t="s">
        <v>51</v>
      </c>
      <c r="F66" s="3">
        <v>8.3333333333333329E-2</v>
      </c>
      <c r="G66" t="s">
        <v>92</v>
      </c>
      <c r="H66" t="s">
        <v>21</v>
      </c>
      <c r="I66" t="s">
        <v>22</v>
      </c>
      <c r="J66" t="b">
        <v>0</v>
      </c>
      <c r="K66" t="s">
        <v>57</v>
      </c>
      <c r="L66">
        <v>5481</v>
      </c>
      <c r="M66" t="s">
        <v>24</v>
      </c>
      <c r="N66">
        <v>20261105000066</v>
      </c>
      <c r="O66" t="s">
        <v>25</v>
      </c>
      <c r="P66" t="s">
        <v>26</v>
      </c>
      <c r="Q66" t="s">
        <v>27</v>
      </c>
      <c r="R66">
        <v>100</v>
      </c>
      <c r="S66">
        <v>92.59</v>
      </c>
    </row>
    <row r="67" spans="1:19">
      <c r="A67" t="s">
        <v>17</v>
      </c>
      <c r="B67" s="1">
        <v>45930</v>
      </c>
      <c r="C67" s="2">
        <v>0.82291666666666663</v>
      </c>
      <c r="D67" t="s">
        <v>33</v>
      </c>
      <c r="E67" t="s">
        <v>18</v>
      </c>
      <c r="F67" s="3">
        <v>4.3055555555555555E-2</v>
      </c>
      <c r="G67" t="s">
        <v>125</v>
      </c>
      <c r="H67" t="s">
        <v>21</v>
      </c>
      <c r="I67" t="s">
        <v>22</v>
      </c>
      <c r="J67" t="b">
        <v>0</v>
      </c>
      <c r="K67" t="s">
        <v>68</v>
      </c>
      <c r="L67">
        <v>6733</v>
      </c>
      <c r="M67" t="s">
        <v>37</v>
      </c>
      <c r="N67">
        <v>20261105000067</v>
      </c>
      <c r="O67" t="s">
        <v>25</v>
      </c>
      <c r="P67" t="s">
        <v>26</v>
      </c>
      <c r="Q67" t="s">
        <v>27</v>
      </c>
      <c r="R67">
        <v>93.33</v>
      </c>
      <c r="S67">
        <v>95.83</v>
      </c>
    </row>
    <row r="68" spans="1:19">
      <c r="A68" t="s">
        <v>17</v>
      </c>
      <c r="B68" s="1">
        <v>45930</v>
      </c>
      <c r="C68" s="2">
        <v>0.82291666666666663</v>
      </c>
      <c r="D68" t="s">
        <v>42</v>
      </c>
      <c r="E68" t="s">
        <v>28</v>
      </c>
      <c r="F68" s="3">
        <v>0.16875000000000001</v>
      </c>
      <c r="G68" t="s">
        <v>126</v>
      </c>
      <c r="H68" t="s">
        <v>63</v>
      </c>
      <c r="I68" t="s">
        <v>22</v>
      </c>
      <c r="J68" t="b">
        <v>0</v>
      </c>
      <c r="K68" t="s">
        <v>45</v>
      </c>
      <c r="L68">
        <v>5727</v>
      </c>
      <c r="M68" t="s">
        <v>24</v>
      </c>
      <c r="N68">
        <v>20261105000068</v>
      </c>
      <c r="O68" t="s">
        <v>25</v>
      </c>
      <c r="P68" t="s">
        <v>26</v>
      </c>
      <c r="Q68" t="s">
        <v>27</v>
      </c>
      <c r="R68">
        <v>89.66</v>
      </c>
      <c r="S68">
        <v>90.91</v>
      </c>
    </row>
    <row r="69" spans="1:19">
      <c r="A69" t="s">
        <v>17</v>
      </c>
      <c r="B69" s="1">
        <v>45930</v>
      </c>
      <c r="C69" s="2">
        <v>0.82291666666666663</v>
      </c>
      <c r="D69" t="s">
        <v>43</v>
      </c>
      <c r="E69" t="s">
        <v>38</v>
      </c>
      <c r="F69" s="3">
        <v>0.12777777777777777</v>
      </c>
      <c r="G69" t="s">
        <v>127</v>
      </c>
      <c r="H69" t="s">
        <v>21</v>
      </c>
      <c r="I69" t="s">
        <v>22</v>
      </c>
      <c r="J69" t="b">
        <v>0</v>
      </c>
      <c r="K69" t="s">
        <v>72</v>
      </c>
      <c r="L69">
        <v>5022</v>
      </c>
      <c r="M69" t="s">
        <v>24</v>
      </c>
      <c r="N69">
        <v>20261105000069</v>
      </c>
      <c r="O69" t="s">
        <v>25</v>
      </c>
      <c r="P69" t="s">
        <v>26</v>
      </c>
      <c r="Q69" t="s">
        <v>27</v>
      </c>
      <c r="R69">
        <v>85.71</v>
      </c>
      <c r="S69">
        <v>92.5</v>
      </c>
    </row>
    <row r="70" spans="1:19">
      <c r="A70" t="s">
        <v>17</v>
      </c>
      <c r="B70" s="1">
        <v>45930</v>
      </c>
      <c r="C70" s="2">
        <v>0.82291666666666663</v>
      </c>
      <c r="D70" t="s">
        <v>46</v>
      </c>
      <c r="E70" t="s">
        <v>19</v>
      </c>
      <c r="F70" s="3">
        <v>8.3333333333333329E-2</v>
      </c>
      <c r="G70" t="s">
        <v>96</v>
      </c>
      <c r="H70" t="s">
        <v>21</v>
      </c>
      <c r="I70" t="s">
        <v>22</v>
      </c>
      <c r="J70" t="b">
        <v>0</v>
      </c>
      <c r="K70" t="s">
        <v>49</v>
      </c>
      <c r="L70">
        <v>11343</v>
      </c>
      <c r="M70" t="s">
        <v>24</v>
      </c>
      <c r="N70">
        <v>20261105000070</v>
      </c>
      <c r="O70" t="s">
        <v>25</v>
      </c>
      <c r="P70" t="s">
        <v>26</v>
      </c>
      <c r="Q70" t="s">
        <v>27</v>
      </c>
      <c r="R70">
        <v>100</v>
      </c>
      <c r="S70">
        <v>92.86</v>
      </c>
    </row>
    <row r="71" spans="1:19">
      <c r="A71" t="s">
        <v>128</v>
      </c>
      <c r="B71" s="1">
        <v>45931</v>
      </c>
      <c r="C71" s="2">
        <v>0.82291666666666663</v>
      </c>
      <c r="D71" t="s">
        <v>29</v>
      </c>
      <c r="E71" t="s">
        <v>19</v>
      </c>
      <c r="F71" s="3">
        <v>8.4027777777777785E-2</v>
      </c>
      <c r="G71" t="s">
        <v>129</v>
      </c>
      <c r="H71" t="s">
        <v>21</v>
      </c>
      <c r="I71" t="s">
        <v>22</v>
      </c>
      <c r="J71" t="b">
        <v>0</v>
      </c>
      <c r="K71" t="s">
        <v>70</v>
      </c>
      <c r="L71">
        <v>7918</v>
      </c>
      <c r="M71" t="s">
        <v>24</v>
      </c>
      <c r="N71">
        <v>20261105000201</v>
      </c>
      <c r="O71" t="s">
        <v>25</v>
      </c>
      <c r="P71" t="s">
        <v>26</v>
      </c>
      <c r="Q71" t="s">
        <v>27</v>
      </c>
      <c r="R71">
        <v>96.55</v>
      </c>
      <c r="S71">
        <v>87.5</v>
      </c>
    </row>
    <row r="72" spans="1:19">
      <c r="A72" t="s">
        <v>59</v>
      </c>
      <c r="B72" s="1">
        <v>45933</v>
      </c>
      <c r="C72" s="2">
        <v>0.82291666666666663</v>
      </c>
      <c r="D72" t="s">
        <v>32</v>
      </c>
      <c r="E72" t="s">
        <v>42</v>
      </c>
      <c r="F72" s="3">
        <v>8.5416666666666669E-2</v>
      </c>
      <c r="G72" t="s">
        <v>130</v>
      </c>
      <c r="H72" t="s">
        <v>21</v>
      </c>
      <c r="I72" t="s">
        <v>22</v>
      </c>
      <c r="J72" t="b">
        <v>0</v>
      </c>
      <c r="K72" t="s">
        <v>36</v>
      </c>
      <c r="L72">
        <v>9280</v>
      </c>
      <c r="M72" t="s">
        <v>24</v>
      </c>
      <c r="N72">
        <v>20261105000072</v>
      </c>
      <c r="O72" t="s">
        <v>25</v>
      </c>
      <c r="P72" t="s">
        <v>26</v>
      </c>
      <c r="Q72" t="s">
        <v>27</v>
      </c>
      <c r="R72">
        <v>88.89</v>
      </c>
      <c r="S72">
        <v>92.59</v>
      </c>
    </row>
    <row r="73" spans="1:19">
      <c r="A73" t="s">
        <v>59</v>
      </c>
      <c r="B73" s="1">
        <v>45933</v>
      </c>
      <c r="C73" s="2">
        <v>0.82291666666666663</v>
      </c>
      <c r="D73" t="s">
        <v>38</v>
      </c>
      <c r="E73" t="s">
        <v>33</v>
      </c>
      <c r="F73" s="3">
        <v>4.5138888888888888E-2</v>
      </c>
      <c r="G73" t="s">
        <v>131</v>
      </c>
      <c r="H73" t="s">
        <v>21</v>
      </c>
      <c r="I73" t="s">
        <v>22</v>
      </c>
      <c r="J73" t="b">
        <v>0</v>
      </c>
      <c r="K73" t="s">
        <v>41</v>
      </c>
      <c r="L73">
        <v>5584</v>
      </c>
      <c r="M73" t="s">
        <v>24</v>
      </c>
      <c r="N73">
        <v>20261105000073</v>
      </c>
      <c r="O73" t="s">
        <v>25</v>
      </c>
      <c r="P73" t="s">
        <v>26</v>
      </c>
      <c r="Q73" t="s">
        <v>27</v>
      </c>
      <c r="R73">
        <v>80.95</v>
      </c>
      <c r="S73">
        <v>96</v>
      </c>
    </row>
    <row r="74" spans="1:19">
      <c r="A74" t="s">
        <v>59</v>
      </c>
      <c r="B74" s="1">
        <v>45933</v>
      </c>
      <c r="C74" s="2">
        <v>0.82291666666666663</v>
      </c>
      <c r="D74" t="s">
        <v>19</v>
      </c>
      <c r="E74" t="s">
        <v>47</v>
      </c>
      <c r="F74" s="3">
        <v>8.4027777777777785E-2</v>
      </c>
      <c r="G74" t="s">
        <v>132</v>
      </c>
      <c r="H74" t="s">
        <v>21</v>
      </c>
      <c r="I74" t="s">
        <v>22</v>
      </c>
      <c r="J74" t="b">
        <v>0</v>
      </c>
      <c r="K74" t="s">
        <v>66</v>
      </c>
      <c r="L74">
        <v>4053</v>
      </c>
      <c r="M74" t="s">
        <v>24</v>
      </c>
      <c r="N74">
        <v>20261105000074</v>
      </c>
      <c r="O74" t="s">
        <v>25</v>
      </c>
      <c r="P74" t="s">
        <v>26</v>
      </c>
      <c r="Q74" t="s">
        <v>27</v>
      </c>
      <c r="R74">
        <v>97.06</v>
      </c>
      <c r="S74">
        <v>90.91</v>
      </c>
    </row>
    <row r="75" spans="1:19">
      <c r="A75" t="s">
        <v>59</v>
      </c>
      <c r="B75" s="1">
        <v>45933</v>
      </c>
      <c r="C75" s="2">
        <v>0.82291666666666663</v>
      </c>
      <c r="D75" t="s">
        <v>43</v>
      </c>
      <c r="E75" t="s">
        <v>39</v>
      </c>
      <c r="F75" s="3">
        <v>4.1666666666666664E-2</v>
      </c>
      <c r="G75" t="s">
        <v>133</v>
      </c>
      <c r="H75" t="s">
        <v>21</v>
      </c>
      <c r="I75" t="s">
        <v>22</v>
      </c>
      <c r="J75" t="b">
        <v>0</v>
      </c>
      <c r="K75" t="s">
        <v>72</v>
      </c>
      <c r="L75">
        <v>5411</v>
      </c>
      <c r="M75" t="s">
        <v>24</v>
      </c>
      <c r="N75">
        <v>20261105000075</v>
      </c>
      <c r="O75" t="s">
        <v>25</v>
      </c>
      <c r="P75" t="s">
        <v>26</v>
      </c>
      <c r="Q75" t="s">
        <v>27</v>
      </c>
      <c r="R75">
        <v>100</v>
      </c>
      <c r="S75">
        <v>97.14</v>
      </c>
    </row>
    <row r="76" spans="1:19">
      <c r="A76" t="s">
        <v>59</v>
      </c>
      <c r="B76" s="1">
        <v>45933</v>
      </c>
      <c r="C76" s="2">
        <v>0.82291666666666663</v>
      </c>
      <c r="D76" t="s">
        <v>46</v>
      </c>
      <c r="E76" t="s">
        <v>52</v>
      </c>
      <c r="F76" s="3">
        <v>0.29375000000000001</v>
      </c>
      <c r="G76" t="s">
        <v>134</v>
      </c>
      <c r="H76" t="s">
        <v>21</v>
      </c>
      <c r="I76" t="s">
        <v>22</v>
      </c>
      <c r="J76" t="b">
        <v>0</v>
      </c>
      <c r="K76" t="s">
        <v>49</v>
      </c>
      <c r="L76">
        <v>10906</v>
      </c>
      <c r="M76" t="s">
        <v>58</v>
      </c>
      <c r="N76">
        <v>20261105000076</v>
      </c>
      <c r="O76" t="s">
        <v>25</v>
      </c>
      <c r="P76" t="s">
        <v>26</v>
      </c>
      <c r="Q76" t="s">
        <v>27</v>
      </c>
      <c r="R76">
        <v>87.5</v>
      </c>
      <c r="S76">
        <v>79.31</v>
      </c>
    </row>
    <row r="77" spans="1:19">
      <c r="A77" t="s">
        <v>59</v>
      </c>
      <c r="B77" s="1">
        <v>45933</v>
      </c>
      <c r="C77" s="2">
        <v>0.82291666666666663</v>
      </c>
      <c r="D77" t="s">
        <v>51</v>
      </c>
      <c r="E77" t="s">
        <v>29</v>
      </c>
      <c r="F77" s="3">
        <v>0.16805555555555557</v>
      </c>
      <c r="G77" t="s">
        <v>135</v>
      </c>
      <c r="H77" t="s">
        <v>21</v>
      </c>
      <c r="I77" t="s">
        <v>22</v>
      </c>
      <c r="J77" t="b">
        <v>0</v>
      </c>
      <c r="K77" t="s">
        <v>54</v>
      </c>
      <c r="L77">
        <v>7140</v>
      </c>
      <c r="M77" t="s">
        <v>24</v>
      </c>
      <c r="N77">
        <v>20261105000077</v>
      </c>
      <c r="O77" t="s">
        <v>25</v>
      </c>
      <c r="P77" t="s">
        <v>26</v>
      </c>
      <c r="Q77" t="s">
        <v>27</v>
      </c>
      <c r="R77">
        <v>91.3</v>
      </c>
      <c r="S77">
        <v>85.71</v>
      </c>
    </row>
    <row r="78" spans="1:19">
      <c r="A78" t="s">
        <v>73</v>
      </c>
      <c r="B78" s="1">
        <v>45934</v>
      </c>
      <c r="C78" s="2">
        <v>0.82291666666666663</v>
      </c>
      <c r="D78" t="s">
        <v>39</v>
      </c>
      <c r="E78" t="s">
        <v>51</v>
      </c>
      <c r="F78" s="3">
        <v>4.3749999999999997E-2</v>
      </c>
      <c r="G78" t="s">
        <v>136</v>
      </c>
      <c r="H78" t="s">
        <v>21</v>
      </c>
      <c r="I78" t="s">
        <v>22</v>
      </c>
      <c r="J78" t="b">
        <v>0</v>
      </c>
      <c r="K78" t="s">
        <v>61</v>
      </c>
      <c r="L78">
        <v>4157</v>
      </c>
      <c r="M78" t="s">
        <v>24</v>
      </c>
      <c r="N78">
        <v>20261105000078</v>
      </c>
      <c r="O78" t="s">
        <v>25</v>
      </c>
      <c r="P78" t="s">
        <v>26</v>
      </c>
      <c r="Q78" t="s">
        <v>27</v>
      </c>
      <c r="R78">
        <v>90.91</v>
      </c>
      <c r="S78">
        <v>95.65</v>
      </c>
    </row>
    <row r="79" spans="1:19">
      <c r="A79" t="s">
        <v>73</v>
      </c>
      <c r="B79" s="1">
        <v>45934</v>
      </c>
      <c r="C79" s="2">
        <v>0.82291666666666663</v>
      </c>
      <c r="D79" t="s">
        <v>52</v>
      </c>
      <c r="E79" t="s">
        <v>43</v>
      </c>
      <c r="F79" s="3">
        <v>8.4027777777777785E-2</v>
      </c>
      <c r="G79" t="s">
        <v>137</v>
      </c>
      <c r="H79" t="s">
        <v>21</v>
      </c>
      <c r="I79" t="s">
        <v>22</v>
      </c>
      <c r="J79" t="b">
        <v>0</v>
      </c>
      <c r="K79" t="s">
        <v>64</v>
      </c>
      <c r="L79">
        <v>16131</v>
      </c>
      <c r="M79" t="s">
        <v>24</v>
      </c>
      <c r="N79">
        <v>20261105000079</v>
      </c>
      <c r="O79" t="s">
        <v>25</v>
      </c>
      <c r="P79" t="s">
        <v>26</v>
      </c>
      <c r="Q79" t="s">
        <v>27</v>
      </c>
      <c r="R79">
        <v>96.43</v>
      </c>
      <c r="S79">
        <v>92.59</v>
      </c>
    </row>
    <row r="80" spans="1:19">
      <c r="A80" t="s">
        <v>73</v>
      </c>
      <c r="B80" s="1">
        <v>45934</v>
      </c>
      <c r="C80" s="2">
        <v>0.82291666666666663</v>
      </c>
      <c r="D80" t="s">
        <v>28</v>
      </c>
      <c r="E80" t="s">
        <v>32</v>
      </c>
      <c r="F80" s="3">
        <v>0.16805555555555557</v>
      </c>
      <c r="G80" t="s">
        <v>138</v>
      </c>
      <c r="H80" t="s">
        <v>21</v>
      </c>
      <c r="I80" t="s">
        <v>22</v>
      </c>
      <c r="J80" t="b">
        <v>0</v>
      </c>
      <c r="K80" t="s">
        <v>31</v>
      </c>
      <c r="L80">
        <v>5727</v>
      </c>
      <c r="M80" t="s">
        <v>24</v>
      </c>
      <c r="N80">
        <v>20261105000081</v>
      </c>
      <c r="O80" t="s">
        <v>25</v>
      </c>
      <c r="P80" t="s">
        <v>26</v>
      </c>
      <c r="Q80" t="s">
        <v>27</v>
      </c>
      <c r="R80">
        <v>88.89</v>
      </c>
      <c r="S80">
        <v>92.59</v>
      </c>
    </row>
    <row r="81" spans="1:19">
      <c r="A81" t="s">
        <v>73</v>
      </c>
      <c r="B81" s="1">
        <v>45934</v>
      </c>
      <c r="C81" s="2">
        <v>0.82291666666666663</v>
      </c>
      <c r="D81" t="s">
        <v>29</v>
      </c>
      <c r="E81" t="s">
        <v>46</v>
      </c>
      <c r="F81" s="3">
        <v>4.3749999999999997E-2</v>
      </c>
      <c r="G81" t="s">
        <v>139</v>
      </c>
      <c r="H81" t="s">
        <v>21</v>
      </c>
      <c r="I81" t="s">
        <v>22</v>
      </c>
      <c r="J81" t="b">
        <v>0</v>
      </c>
      <c r="K81" t="s">
        <v>70</v>
      </c>
      <c r="L81">
        <v>9600</v>
      </c>
      <c r="M81" t="s">
        <v>24</v>
      </c>
      <c r="N81">
        <v>20261105000083</v>
      </c>
      <c r="O81" t="s">
        <v>25</v>
      </c>
      <c r="P81" t="s">
        <v>26</v>
      </c>
      <c r="Q81" t="s">
        <v>27</v>
      </c>
      <c r="R81">
        <v>89.29</v>
      </c>
      <c r="S81">
        <v>96.97</v>
      </c>
    </row>
    <row r="82" spans="1:19">
      <c r="A82" t="s">
        <v>73</v>
      </c>
      <c r="B82" s="1">
        <v>45934</v>
      </c>
      <c r="C82" s="2">
        <v>0.82291666666666663</v>
      </c>
      <c r="D82" t="s">
        <v>42</v>
      </c>
      <c r="E82" t="s">
        <v>18</v>
      </c>
      <c r="F82" s="3">
        <v>0.16805555555555557</v>
      </c>
      <c r="G82" t="s">
        <v>140</v>
      </c>
      <c r="H82" t="s">
        <v>21</v>
      </c>
      <c r="I82" t="s">
        <v>22</v>
      </c>
      <c r="J82" t="b">
        <v>0</v>
      </c>
      <c r="K82" t="s">
        <v>45</v>
      </c>
      <c r="L82">
        <v>5075</v>
      </c>
      <c r="M82" t="s">
        <v>24</v>
      </c>
      <c r="N82">
        <v>20261105000084</v>
      </c>
      <c r="O82" t="s">
        <v>25</v>
      </c>
      <c r="P82" t="s">
        <v>26</v>
      </c>
      <c r="Q82" t="s">
        <v>27</v>
      </c>
      <c r="R82">
        <v>92.59</v>
      </c>
      <c r="S82">
        <v>90</v>
      </c>
    </row>
    <row r="83" spans="1:19">
      <c r="A83" t="s">
        <v>80</v>
      </c>
      <c r="B83" s="1">
        <v>45935</v>
      </c>
      <c r="C83" s="2">
        <v>0.58333333333333337</v>
      </c>
      <c r="D83" t="s">
        <v>47</v>
      </c>
      <c r="E83" t="s">
        <v>38</v>
      </c>
      <c r="F83" s="3">
        <v>0.33333333333333331</v>
      </c>
      <c r="G83" t="s">
        <v>141</v>
      </c>
      <c r="H83" t="s">
        <v>21</v>
      </c>
      <c r="I83" t="s">
        <v>22</v>
      </c>
      <c r="J83" t="b">
        <v>0</v>
      </c>
      <c r="K83" t="s">
        <v>57</v>
      </c>
      <c r="L83">
        <v>6325</v>
      </c>
      <c r="M83" t="s">
        <v>24</v>
      </c>
      <c r="N83">
        <v>20261105000080</v>
      </c>
      <c r="O83" t="s">
        <v>25</v>
      </c>
      <c r="P83" t="s">
        <v>26</v>
      </c>
      <c r="Q83" t="s">
        <v>27</v>
      </c>
      <c r="R83">
        <v>100</v>
      </c>
      <c r="S83">
        <v>73.33</v>
      </c>
    </row>
    <row r="84" spans="1:19">
      <c r="A84" t="s">
        <v>80</v>
      </c>
      <c r="B84" s="1">
        <v>45935</v>
      </c>
      <c r="C84" s="2">
        <v>0.58333333333333337</v>
      </c>
      <c r="D84" t="s">
        <v>33</v>
      </c>
      <c r="E84" t="s">
        <v>19</v>
      </c>
      <c r="F84" s="3">
        <v>0.21111111111111111</v>
      </c>
      <c r="G84" t="s">
        <v>142</v>
      </c>
      <c r="H84" t="s">
        <v>63</v>
      </c>
      <c r="I84" t="s">
        <v>22</v>
      </c>
      <c r="J84" t="b">
        <v>0</v>
      </c>
      <c r="K84" t="s">
        <v>68</v>
      </c>
      <c r="L84">
        <v>5468</v>
      </c>
      <c r="M84" t="s">
        <v>24</v>
      </c>
      <c r="N84">
        <v>20261105000082</v>
      </c>
      <c r="O84" t="s">
        <v>25</v>
      </c>
      <c r="P84" t="s">
        <v>26</v>
      </c>
      <c r="Q84" t="s">
        <v>27</v>
      </c>
      <c r="R84">
        <v>85.71</v>
      </c>
      <c r="S84">
        <v>88.57</v>
      </c>
    </row>
    <row r="85" spans="1:19">
      <c r="A85" t="s">
        <v>80</v>
      </c>
      <c r="B85" s="1">
        <v>45935</v>
      </c>
      <c r="C85" s="2">
        <v>0.65625</v>
      </c>
      <c r="D85" t="s">
        <v>18</v>
      </c>
      <c r="E85" t="s">
        <v>28</v>
      </c>
      <c r="F85" s="3">
        <v>0.17083333333333334</v>
      </c>
      <c r="G85" t="s">
        <v>143</v>
      </c>
      <c r="H85" t="s">
        <v>21</v>
      </c>
      <c r="I85" t="s">
        <v>22</v>
      </c>
      <c r="J85" t="b">
        <v>0</v>
      </c>
      <c r="K85" t="s">
        <v>23</v>
      </c>
      <c r="L85">
        <v>6605</v>
      </c>
      <c r="M85" t="s">
        <v>24</v>
      </c>
      <c r="N85">
        <v>20261105000071</v>
      </c>
      <c r="O85" t="s">
        <v>25</v>
      </c>
      <c r="P85" t="s">
        <v>26</v>
      </c>
      <c r="Q85" t="s">
        <v>27</v>
      </c>
      <c r="R85">
        <v>81.48</v>
      </c>
      <c r="S85">
        <v>85.71</v>
      </c>
    </row>
    <row r="86" spans="1:19">
      <c r="A86" t="s">
        <v>55</v>
      </c>
      <c r="B86" s="1">
        <v>45939</v>
      </c>
      <c r="C86" s="2">
        <v>0.83333333333333337</v>
      </c>
      <c r="D86" t="s">
        <v>32</v>
      </c>
      <c r="E86" t="s">
        <v>19</v>
      </c>
      <c r="F86" s="3">
        <v>0.16875000000000001</v>
      </c>
      <c r="G86" t="s">
        <v>144</v>
      </c>
      <c r="H86" t="s">
        <v>63</v>
      </c>
      <c r="I86" t="s">
        <v>22</v>
      </c>
      <c r="J86" t="b">
        <v>0</v>
      </c>
      <c r="K86" t="s">
        <v>36</v>
      </c>
      <c r="L86">
        <v>9280</v>
      </c>
      <c r="M86" t="s">
        <v>58</v>
      </c>
      <c r="N86">
        <v>20261105000087</v>
      </c>
      <c r="O86" t="s">
        <v>25</v>
      </c>
      <c r="P86" t="s">
        <v>26</v>
      </c>
      <c r="Q86" t="s">
        <v>27</v>
      </c>
      <c r="R86">
        <v>90.91</v>
      </c>
      <c r="S86">
        <v>90</v>
      </c>
    </row>
    <row r="87" spans="1:19">
      <c r="A87" t="s">
        <v>59</v>
      </c>
      <c r="B87" s="1">
        <v>45940</v>
      </c>
      <c r="C87" s="2">
        <v>0.82291666666666663</v>
      </c>
      <c r="D87" t="s">
        <v>18</v>
      </c>
      <c r="E87" t="s">
        <v>39</v>
      </c>
      <c r="F87" s="3">
        <v>0.12638888888888888</v>
      </c>
      <c r="G87" t="s">
        <v>145</v>
      </c>
      <c r="H87" t="s">
        <v>21</v>
      </c>
      <c r="I87" t="s">
        <v>22</v>
      </c>
      <c r="J87" t="b">
        <v>0</v>
      </c>
      <c r="K87" t="s">
        <v>23</v>
      </c>
      <c r="L87">
        <v>6546</v>
      </c>
      <c r="M87" t="s">
        <v>24</v>
      </c>
      <c r="N87">
        <v>20261105000085</v>
      </c>
      <c r="O87" t="s">
        <v>25</v>
      </c>
      <c r="P87" t="s">
        <v>26</v>
      </c>
      <c r="Q87" t="s">
        <v>27</v>
      </c>
      <c r="R87">
        <v>93.1</v>
      </c>
      <c r="S87">
        <v>93.1</v>
      </c>
    </row>
    <row r="88" spans="1:19">
      <c r="A88" t="s">
        <v>59</v>
      </c>
      <c r="B88" s="1">
        <v>45940</v>
      </c>
      <c r="C88" s="2">
        <v>0.82291666666666663</v>
      </c>
      <c r="D88" t="s">
        <v>33</v>
      </c>
      <c r="E88" t="s">
        <v>43</v>
      </c>
      <c r="F88" s="3">
        <v>8.6805555555555552E-2</v>
      </c>
      <c r="G88" t="s">
        <v>146</v>
      </c>
      <c r="H88" t="s">
        <v>21</v>
      </c>
      <c r="I88" t="s">
        <v>22</v>
      </c>
      <c r="J88" t="b">
        <v>0</v>
      </c>
      <c r="K88" t="s">
        <v>68</v>
      </c>
      <c r="L88">
        <v>4811</v>
      </c>
      <c r="M88" t="s">
        <v>24</v>
      </c>
      <c r="N88">
        <v>20261105000088</v>
      </c>
      <c r="O88" t="s">
        <v>25</v>
      </c>
      <c r="P88" t="s">
        <v>26</v>
      </c>
      <c r="Q88" t="s">
        <v>27</v>
      </c>
      <c r="R88">
        <v>80.77</v>
      </c>
      <c r="S88">
        <v>93.75</v>
      </c>
    </row>
    <row r="89" spans="1:19">
      <c r="A89" t="s">
        <v>59</v>
      </c>
      <c r="B89" s="1">
        <v>45940</v>
      </c>
      <c r="C89" s="2">
        <v>0.82291666666666663</v>
      </c>
      <c r="D89" t="s">
        <v>29</v>
      </c>
      <c r="E89" t="s">
        <v>47</v>
      </c>
      <c r="F89" s="3">
        <v>0.12777777777777777</v>
      </c>
      <c r="G89" t="s">
        <v>147</v>
      </c>
      <c r="H89" t="s">
        <v>21</v>
      </c>
      <c r="I89" t="s">
        <v>22</v>
      </c>
      <c r="J89" t="b">
        <v>0</v>
      </c>
      <c r="K89" t="s">
        <v>70</v>
      </c>
      <c r="L89">
        <v>9505</v>
      </c>
      <c r="M89" t="s">
        <v>148</v>
      </c>
      <c r="N89">
        <v>20261105000089</v>
      </c>
      <c r="O89" t="s">
        <v>25</v>
      </c>
      <c r="P89" t="s">
        <v>26</v>
      </c>
      <c r="Q89" t="s">
        <v>27</v>
      </c>
      <c r="R89">
        <v>86.67</v>
      </c>
      <c r="S89">
        <v>86.96</v>
      </c>
    </row>
    <row r="90" spans="1:19">
      <c r="A90" t="s">
        <v>59</v>
      </c>
      <c r="B90" s="1">
        <v>45940</v>
      </c>
      <c r="C90" s="2">
        <v>0.82291666666666663</v>
      </c>
      <c r="D90" t="s">
        <v>42</v>
      </c>
      <c r="E90" t="s">
        <v>46</v>
      </c>
      <c r="F90" s="3">
        <v>0.12638888888888888</v>
      </c>
      <c r="G90" t="s">
        <v>149</v>
      </c>
      <c r="H90" t="s">
        <v>21</v>
      </c>
      <c r="I90" t="s">
        <v>22</v>
      </c>
      <c r="J90" t="b">
        <v>0</v>
      </c>
      <c r="K90" t="s">
        <v>45</v>
      </c>
      <c r="L90">
        <v>5962</v>
      </c>
      <c r="M90" t="s">
        <v>24</v>
      </c>
      <c r="N90">
        <v>20261105000090</v>
      </c>
      <c r="O90" t="s">
        <v>25</v>
      </c>
      <c r="P90" t="s">
        <v>26</v>
      </c>
      <c r="Q90" t="s">
        <v>27</v>
      </c>
      <c r="R90">
        <v>93.33</v>
      </c>
      <c r="S90">
        <v>86.36</v>
      </c>
    </row>
    <row r="91" spans="1:19">
      <c r="A91" t="s">
        <v>59</v>
      </c>
      <c r="B91" s="1">
        <v>45940</v>
      </c>
      <c r="C91" s="2">
        <v>0.82291666666666663</v>
      </c>
      <c r="D91" t="s">
        <v>51</v>
      </c>
      <c r="E91" t="s">
        <v>38</v>
      </c>
      <c r="F91" s="3">
        <v>4.4444444444444446E-2</v>
      </c>
      <c r="G91" t="s">
        <v>150</v>
      </c>
      <c r="H91" t="s">
        <v>21</v>
      </c>
      <c r="I91" t="s">
        <v>22</v>
      </c>
      <c r="J91" t="b">
        <v>0</v>
      </c>
      <c r="K91" t="s">
        <v>54</v>
      </c>
      <c r="L91">
        <v>7034</v>
      </c>
      <c r="M91" t="s">
        <v>24</v>
      </c>
      <c r="N91">
        <v>20261105000091</v>
      </c>
      <c r="O91" t="s">
        <v>25</v>
      </c>
      <c r="P91" t="s">
        <v>26</v>
      </c>
      <c r="Q91" t="s">
        <v>27</v>
      </c>
      <c r="R91">
        <v>84.62</v>
      </c>
      <c r="S91">
        <v>97.14</v>
      </c>
    </row>
    <row r="92" spans="1:19">
      <c r="A92" t="s">
        <v>73</v>
      </c>
      <c r="B92" s="1">
        <v>45941</v>
      </c>
      <c r="C92" s="2">
        <v>0.82291666666666663</v>
      </c>
      <c r="D92" t="s">
        <v>52</v>
      </c>
      <c r="E92" t="s">
        <v>51</v>
      </c>
      <c r="F92" s="3">
        <v>0.125</v>
      </c>
      <c r="G92" t="s">
        <v>151</v>
      </c>
      <c r="H92" t="s">
        <v>21</v>
      </c>
      <c r="I92" t="s">
        <v>22</v>
      </c>
      <c r="J92" t="b">
        <v>0</v>
      </c>
      <c r="K92" t="s">
        <v>64</v>
      </c>
      <c r="L92">
        <v>16322</v>
      </c>
      <c r="M92" t="s">
        <v>58</v>
      </c>
      <c r="N92">
        <v>20261105000093</v>
      </c>
      <c r="O92" t="s">
        <v>25</v>
      </c>
      <c r="P92" t="s">
        <v>26</v>
      </c>
      <c r="Q92" t="s">
        <v>27</v>
      </c>
      <c r="R92">
        <v>100</v>
      </c>
      <c r="S92">
        <v>94.12</v>
      </c>
    </row>
    <row r="93" spans="1:19">
      <c r="A93" t="s">
        <v>73</v>
      </c>
      <c r="B93" s="1">
        <v>45941</v>
      </c>
      <c r="C93" s="2">
        <v>0.82291666666666663</v>
      </c>
      <c r="D93" t="s">
        <v>47</v>
      </c>
      <c r="E93" t="s">
        <v>32</v>
      </c>
      <c r="F93" s="3">
        <v>8.4027777777777785E-2</v>
      </c>
      <c r="G93" t="s">
        <v>152</v>
      </c>
      <c r="H93" t="s">
        <v>63</v>
      </c>
      <c r="I93" t="s">
        <v>22</v>
      </c>
      <c r="J93" t="b">
        <v>0</v>
      </c>
      <c r="K93" t="s">
        <v>57</v>
      </c>
      <c r="L93">
        <v>6556</v>
      </c>
      <c r="M93" t="s">
        <v>24</v>
      </c>
      <c r="N93">
        <v>20261105000094</v>
      </c>
      <c r="O93" t="s">
        <v>25</v>
      </c>
      <c r="P93" t="s">
        <v>26</v>
      </c>
      <c r="Q93" t="s">
        <v>27</v>
      </c>
      <c r="R93">
        <v>97.44</v>
      </c>
      <c r="S93">
        <v>95.24</v>
      </c>
    </row>
    <row r="94" spans="1:19">
      <c r="A94" t="s">
        <v>73</v>
      </c>
      <c r="B94" s="1">
        <v>45941</v>
      </c>
      <c r="C94" s="2">
        <v>0.82291666666666663</v>
      </c>
      <c r="D94" t="s">
        <v>19</v>
      </c>
      <c r="E94" t="s">
        <v>28</v>
      </c>
      <c r="F94" s="3">
        <v>8.5416666666666669E-2</v>
      </c>
      <c r="G94" t="s">
        <v>153</v>
      </c>
      <c r="H94" t="s">
        <v>21</v>
      </c>
      <c r="I94" t="s">
        <v>22</v>
      </c>
      <c r="J94" t="b">
        <v>0</v>
      </c>
      <c r="K94" t="s">
        <v>66</v>
      </c>
      <c r="L94">
        <v>6151</v>
      </c>
      <c r="M94" t="s">
        <v>24</v>
      </c>
      <c r="N94">
        <v>20261105000096</v>
      </c>
      <c r="O94" t="s">
        <v>25</v>
      </c>
      <c r="P94" t="s">
        <v>26</v>
      </c>
      <c r="Q94" t="s">
        <v>27</v>
      </c>
      <c r="R94">
        <v>89.66</v>
      </c>
      <c r="S94">
        <v>92</v>
      </c>
    </row>
    <row r="95" spans="1:19">
      <c r="A95" t="s">
        <v>73</v>
      </c>
      <c r="B95" s="1">
        <v>45941</v>
      </c>
      <c r="C95" s="2">
        <v>0.82291666666666663</v>
      </c>
      <c r="D95" t="s">
        <v>43</v>
      </c>
      <c r="E95" t="s">
        <v>42</v>
      </c>
      <c r="F95" s="3">
        <v>4.4444444444444446E-2</v>
      </c>
      <c r="G95" t="s">
        <v>154</v>
      </c>
      <c r="H95" t="s">
        <v>21</v>
      </c>
      <c r="I95" t="s">
        <v>22</v>
      </c>
      <c r="J95" t="b">
        <v>0</v>
      </c>
      <c r="K95" t="s">
        <v>72</v>
      </c>
      <c r="L95">
        <v>5726</v>
      </c>
      <c r="M95" t="s">
        <v>24</v>
      </c>
      <c r="N95">
        <v>20261105000097</v>
      </c>
      <c r="O95" t="s">
        <v>25</v>
      </c>
      <c r="P95" t="s">
        <v>26</v>
      </c>
      <c r="Q95" t="s">
        <v>27</v>
      </c>
      <c r="R95">
        <v>86.96</v>
      </c>
      <c r="S95">
        <v>97.44</v>
      </c>
    </row>
    <row r="96" spans="1:19">
      <c r="A96" t="s">
        <v>73</v>
      </c>
      <c r="B96" s="1">
        <v>45941</v>
      </c>
      <c r="C96" s="2">
        <v>0.82291666666666663</v>
      </c>
      <c r="D96" t="s">
        <v>46</v>
      </c>
      <c r="E96" t="s">
        <v>18</v>
      </c>
      <c r="F96" s="3">
        <v>4.3055555555555555E-2</v>
      </c>
      <c r="G96" t="s">
        <v>155</v>
      </c>
      <c r="H96" t="s">
        <v>21</v>
      </c>
      <c r="I96" t="s">
        <v>22</v>
      </c>
      <c r="J96" t="b">
        <v>0</v>
      </c>
      <c r="K96" t="s">
        <v>49</v>
      </c>
      <c r="L96">
        <v>11078</v>
      </c>
      <c r="M96" t="s">
        <v>37</v>
      </c>
      <c r="N96">
        <v>20261105000098</v>
      </c>
      <c r="O96" t="s">
        <v>25</v>
      </c>
      <c r="P96" t="s">
        <v>26</v>
      </c>
      <c r="Q96" t="s">
        <v>27</v>
      </c>
      <c r="R96">
        <v>92.86</v>
      </c>
      <c r="S96">
        <v>96.43</v>
      </c>
    </row>
    <row r="97" spans="1:19">
      <c r="A97" t="s">
        <v>80</v>
      </c>
      <c r="B97" s="1">
        <v>45942</v>
      </c>
      <c r="C97" s="2">
        <v>0.58333333333333337</v>
      </c>
      <c r="D97" t="s">
        <v>39</v>
      </c>
      <c r="E97" t="s">
        <v>33</v>
      </c>
      <c r="F97" s="3">
        <v>4.3055555555555555E-2</v>
      </c>
      <c r="G97" t="s">
        <v>156</v>
      </c>
      <c r="H97" t="s">
        <v>21</v>
      </c>
      <c r="I97" t="s">
        <v>22</v>
      </c>
      <c r="J97" t="b">
        <v>0</v>
      </c>
      <c r="K97" t="s">
        <v>61</v>
      </c>
      <c r="L97">
        <v>4720</v>
      </c>
      <c r="M97" t="s">
        <v>24</v>
      </c>
      <c r="N97">
        <v>20261105000092</v>
      </c>
      <c r="O97" t="s">
        <v>25</v>
      </c>
      <c r="P97" t="s">
        <v>26</v>
      </c>
      <c r="Q97" t="s">
        <v>27</v>
      </c>
      <c r="R97">
        <v>94.44</v>
      </c>
      <c r="S97">
        <v>94.44</v>
      </c>
    </row>
    <row r="98" spans="1:19">
      <c r="A98" t="s">
        <v>80</v>
      </c>
      <c r="B98" s="1">
        <v>45942</v>
      </c>
      <c r="C98" s="2">
        <v>0.58402777777777781</v>
      </c>
      <c r="D98" t="s">
        <v>38</v>
      </c>
      <c r="E98" t="s">
        <v>29</v>
      </c>
      <c r="F98" s="3">
        <v>0.21041666666666667</v>
      </c>
      <c r="G98" t="s">
        <v>157</v>
      </c>
      <c r="H98" t="s">
        <v>21</v>
      </c>
      <c r="I98" t="s">
        <v>22</v>
      </c>
      <c r="J98" t="b">
        <v>0</v>
      </c>
      <c r="K98" t="s">
        <v>41</v>
      </c>
      <c r="L98">
        <v>7135</v>
      </c>
      <c r="M98" t="s">
        <v>24</v>
      </c>
      <c r="N98">
        <v>20261105000095</v>
      </c>
      <c r="O98" t="s">
        <v>25</v>
      </c>
      <c r="P98" t="s">
        <v>26</v>
      </c>
      <c r="Q98" t="s">
        <v>27</v>
      </c>
      <c r="R98">
        <v>88.89</v>
      </c>
      <c r="S98">
        <v>80</v>
      </c>
    </row>
    <row r="99" spans="1:19">
      <c r="A99" t="s">
        <v>80</v>
      </c>
      <c r="B99" s="1">
        <v>45942</v>
      </c>
      <c r="C99" s="2">
        <v>0.65625</v>
      </c>
      <c r="D99" t="s">
        <v>28</v>
      </c>
      <c r="E99" t="s">
        <v>52</v>
      </c>
      <c r="F99" s="3">
        <v>8.4027777777777785E-2</v>
      </c>
      <c r="G99" t="s">
        <v>158</v>
      </c>
      <c r="H99" t="s">
        <v>21</v>
      </c>
      <c r="I99" t="s">
        <v>22</v>
      </c>
      <c r="J99" t="b">
        <v>0</v>
      </c>
      <c r="K99" t="s">
        <v>31</v>
      </c>
      <c r="L99">
        <v>6547</v>
      </c>
      <c r="M99" t="s">
        <v>24</v>
      </c>
      <c r="N99">
        <v>20261105000086</v>
      </c>
      <c r="O99" t="s">
        <v>25</v>
      </c>
      <c r="P99" t="s">
        <v>26</v>
      </c>
      <c r="Q99" t="s">
        <v>27</v>
      </c>
      <c r="R99">
        <v>96</v>
      </c>
      <c r="S99">
        <v>91.3</v>
      </c>
    </row>
    <row r="100" spans="1:19">
      <c r="A100" t="s">
        <v>55</v>
      </c>
      <c r="B100" s="1">
        <v>45946</v>
      </c>
      <c r="C100" s="2">
        <v>0.83333333333333337</v>
      </c>
      <c r="D100" t="s">
        <v>33</v>
      </c>
      <c r="E100" t="s">
        <v>28</v>
      </c>
      <c r="F100" s="3">
        <v>2.0833333333333333E-3</v>
      </c>
      <c r="G100" t="s">
        <v>105</v>
      </c>
      <c r="H100" t="s">
        <v>21</v>
      </c>
      <c r="I100" t="s">
        <v>22</v>
      </c>
      <c r="J100" t="b">
        <v>0</v>
      </c>
      <c r="K100" t="s">
        <v>68</v>
      </c>
      <c r="L100">
        <v>5696</v>
      </c>
      <c r="M100" t="s">
        <v>58</v>
      </c>
      <c r="N100">
        <v>20261105000104</v>
      </c>
      <c r="O100" t="s">
        <v>25</v>
      </c>
      <c r="P100" t="s">
        <v>26</v>
      </c>
      <c r="Q100" t="s">
        <v>27</v>
      </c>
      <c r="R100">
        <v>87.5</v>
      </c>
      <c r="S100">
        <v>100</v>
      </c>
    </row>
    <row r="101" spans="1:19">
      <c r="A101" t="s">
        <v>59</v>
      </c>
      <c r="B101" s="1">
        <v>45947</v>
      </c>
      <c r="C101" s="2">
        <v>0.82291666666666663</v>
      </c>
      <c r="D101" t="s">
        <v>39</v>
      </c>
      <c r="E101" t="s">
        <v>19</v>
      </c>
      <c r="F101" s="3">
        <v>2.0833333333333333E-3</v>
      </c>
      <c r="G101" t="s">
        <v>159</v>
      </c>
      <c r="H101" t="s">
        <v>21</v>
      </c>
      <c r="I101" t="s">
        <v>22</v>
      </c>
      <c r="J101" t="b">
        <v>0</v>
      </c>
      <c r="K101" t="s">
        <v>61</v>
      </c>
      <c r="L101">
        <v>4141</v>
      </c>
      <c r="M101" t="s">
        <v>24</v>
      </c>
      <c r="N101">
        <v>20261105000099</v>
      </c>
      <c r="O101" t="s">
        <v>25</v>
      </c>
      <c r="P101" t="s">
        <v>26</v>
      </c>
      <c r="Q101" t="s">
        <v>27</v>
      </c>
      <c r="R101">
        <v>90.91</v>
      </c>
      <c r="S101">
        <v>100</v>
      </c>
    </row>
    <row r="102" spans="1:19">
      <c r="A102" t="s">
        <v>59</v>
      </c>
      <c r="B102" s="1">
        <v>45947</v>
      </c>
      <c r="C102" s="2">
        <v>0.82291666666666663</v>
      </c>
      <c r="D102" t="s">
        <v>18</v>
      </c>
      <c r="E102" t="s">
        <v>43</v>
      </c>
      <c r="F102" s="3">
        <v>8.611111111111111E-2</v>
      </c>
      <c r="G102" t="s">
        <v>160</v>
      </c>
      <c r="H102" t="s">
        <v>21</v>
      </c>
      <c r="I102" t="s">
        <v>22</v>
      </c>
      <c r="J102" t="b">
        <v>0</v>
      </c>
      <c r="K102" t="s">
        <v>23</v>
      </c>
      <c r="L102">
        <v>6356</v>
      </c>
      <c r="M102" t="s">
        <v>58</v>
      </c>
      <c r="N102">
        <v>20261105000100</v>
      </c>
      <c r="O102" t="s">
        <v>25</v>
      </c>
      <c r="P102" t="s">
        <v>26</v>
      </c>
      <c r="Q102" t="s">
        <v>27</v>
      </c>
      <c r="R102">
        <v>81.819999999999993</v>
      </c>
      <c r="S102">
        <v>94.44</v>
      </c>
    </row>
    <row r="103" spans="1:19">
      <c r="A103" t="s">
        <v>59</v>
      </c>
      <c r="B103" s="1">
        <v>45947</v>
      </c>
      <c r="C103" s="2">
        <v>0.82291666666666663</v>
      </c>
      <c r="D103" t="s">
        <v>52</v>
      </c>
      <c r="E103" t="s">
        <v>29</v>
      </c>
      <c r="F103" s="3">
        <v>1.3888888888888889E-3</v>
      </c>
      <c r="G103" t="s">
        <v>161</v>
      </c>
      <c r="H103" t="s">
        <v>21</v>
      </c>
      <c r="I103" t="s">
        <v>22</v>
      </c>
      <c r="J103" t="b">
        <v>0</v>
      </c>
      <c r="K103" t="s">
        <v>64</v>
      </c>
      <c r="L103">
        <v>14793</v>
      </c>
      <c r="M103" t="s">
        <v>24</v>
      </c>
      <c r="N103">
        <v>20261105000101</v>
      </c>
      <c r="O103" t="s">
        <v>25</v>
      </c>
      <c r="P103" t="s">
        <v>26</v>
      </c>
      <c r="Q103" t="s">
        <v>27</v>
      </c>
      <c r="R103">
        <v>95.45</v>
      </c>
      <c r="S103">
        <v>100</v>
      </c>
    </row>
    <row r="104" spans="1:19">
      <c r="A104" t="s">
        <v>59</v>
      </c>
      <c r="B104" s="1">
        <v>45947</v>
      </c>
      <c r="C104" s="2">
        <v>0.82291666666666663</v>
      </c>
      <c r="D104" t="s">
        <v>47</v>
      </c>
      <c r="E104" t="s">
        <v>42</v>
      </c>
      <c r="F104" s="3">
        <v>0.17083333333333334</v>
      </c>
      <c r="G104" t="s">
        <v>162</v>
      </c>
      <c r="H104" t="s">
        <v>21</v>
      </c>
      <c r="I104" t="s">
        <v>22</v>
      </c>
      <c r="J104" t="b">
        <v>0</v>
      </c>
      <c r="K104" t="s">
        <v>57</v>
      </c>
      <c r="L104">
        <v>5931</v>
      </c>
      <c r="M104" t="s">
        <v>24</v>
      </c>
      <c r="N104">
        <v>20261105000102</v>
      </c>
      <c r="O104" t="s">
        <v>25</v>
      </c>
      <c r="P104" t="s">
        <v>26</v>
      </c>
      <c r="Q104" t="s">
        <v>27</v>
      </c>
      <c r="R104">
        <v>82.76</v>
      </c>
      <c r="S104">
        <v>82.61</v>
      </c>
    </row>
    <row r="105" spans="1:19">
      <c r="A105" t="s">
        <v>59</v>
      </c>
      <c r="B105" s="1">
        <v>45947</v>
      </c>
      <c r="C105" s="2">
        <v>0.82291666666666663</v>
      </c>
      <c r="D105" t="s">
        <v>32</v>
      </c>
      <c r="E105" t="s">
        <v>38</v>
      </c>
      <c r="F105" s="3">
        <v>0.25138888888888888</v>
      </c>
      <c r="G105" t="s">
        <v>163</v>
      </c>
      <c r="H105" t="s">
        <v>21</v>
      </c>
      <c r="I105" t="s">
        <v>22</v>
      </c>
      <c r="J105" t="b">
        <v>0</v>
      </c>
      <c r="K105" t="s">
        <v>36</v>
      </c>
      <c r="L105">
        <v>9280</v>
      </c>
      <c r="M105" t="s">
        <v>24</v>
      </c>
      <c r="N105">
        <v>20261105000103</v>
      </c>
      <c r="O105" t="s">
        <v>25</v>
      </c>
      <c r="P105" t="s">
        <v>26</v>
      </c>
      <c r="Q105" t="s">
        <v>27</v>
      </c>
      <c r="R105">
        <v>90</v>
      </c>
      <c r="S105">
        <v>75</v>
      </c>
    </row>
    <row r="106" spans="1:19">
      <c r="A106" t="s">
        <v>59</v>
      </c>
      <c r="B106" s="1">
        <v>45947</v>
      </c>
      <c r="C106" s="2">
        <v>0.82291666666666663</v>
      </c>
      <c r="D106" t="s">
        <v>46</v>
      </c>
      <c r="E106" t="s">
        <v>51</v>
      </c>
      <c r="F106" s="3">
        <v>8.5416666666666669E-2</v>
      </c>
      <c r="G106" t="s">
        <v>119</v>
      </c>
      <c r="H106" t="s">
        <v>63</v>
      </c>
      <c r="I106" t="s">
        <v>22</v>
      </c>
      <c r="J106" t="b">
        <v>0</v>
      </c>
      <c r="K106" t="s">
        <v>49</v>
      </c>
      <c r="L106">
        <v>11529</v>
      </c>
      <c r="M106" t="s">
        <v>24</v>
      </c>
      <c r="N106">
        <v>20261105000105</v>
      </c>
      <c r="O106" t="s">
        <v>25</v>
      </c>
      <c r="P106" t="s">
        <v>26</v>
      </c>
      <c r="Q106" t="s">
        <v>27</v>
      </c>
      <c r="R106">
        <v>90</v>
      </c>
      <c r="S106">
        <v>95.24</v>
      </c>
    </row>
    <row r="107" spans="1:19">
      <c r="A107" t="s">
        <v>73</v>
      </c>
      <c r="B107" s="1">
        <v>45948</v>
      </c>
      <c r="C107" s="2">
        <v>0.82291666666666663</v>
      </c>
      <c r="D107" t="s">
        <v>28</v>
      </c>
      <c r="E107" t="s">
        <v>46</v>
      </c>
      <c r="F107" s="3">
        <v>0.12569444444444444</v>
      </c>
      <c r="G107" t="s">
        <v>164</v>
      </c>
      <c r="H107" t="s">
        <v>21</v>
      </c>
      <c r="I107" t="s">
        <v>22</v>
      </c>
      <c r="J107" t="b">
        <v>0</v>
      </c>
      <c r="K107" t="s">
        <v>31</v>
      </c>
      <c r="L107">
        <v>6547</v>
      </c>
      <c r="M107" t="s">
        <v>24</v>
      </c>
      <c r="N107">
        <v>20261105000106</v>
      </c>
      <c r="O107" t="s">
        <v>25</v>
      </c>
      <c r="P107" t="s">
        <v>26</v>
      </c>
      <c r="Q107" t="s">
        <v>27</v>
      </c>
      <c r="R107">
        <v>96.55</v>
      </c>
      <c r="S107">
        <v>93.1</v>
      </c>
    </row>
    <row r="108" spans="1:19">
      <c r="A108" t="s">
        <v>73</v>
      </c>
      <c r="B108" s="1">
        <v>45948</v>
      </c>
      <c r="C108" s="2">
        <v>0.82291666666666663</v>
      </c>
      <c r="D108" t="s">
        <v>38</v>
      </c>
      <c r="E108" t="s">
        <v>52</v>
      </c>
      <c r="F108" s="3">
        <v>8.4027777777777785E-2</v>
      </c>
      <c r="G108" t="s">
        <v>165</v>
      </c>
      <c r="H108" t="s">
        <v>35</v>
      </c>
      <c r="I108" t="s">
        <v>22</v>
      </c>
      <c r="J108" t="b">
        <v>0</v>
      </c>
      <c r="K108" t="s">
        <v>41</v>
      </c>
      <c r="L108">
        <v>7135</v>
      </c>
      <c r="M108" t="s">
        <v>24</v>
      </c>
      <c r="N108">
        <v>20261105000107</v>
      </c>
      <c r="O108" t="s">
        <v>25</v>
      </c>
      <c r="P108" t="s">
        <v>26</v>
      </c>
      <c r="Q108" t="s">
        <v>27</v>
      </c>
      <c r="R108">
        <v>96.67</v>
      </c>
      <c r="S108">
        <v>92.31</v>
      </c>
    </row>
    <row r="109" spans="1:19">
      <c r="A109" t="s">
        <v>73</v>
      </c>
      <c r="B109" s="1">
        <v>45948</v>
      </c>
      <c r="C109" s="2">
        <v>0.82291666666666663</v>
      </c>
      <c r="D109" t="s">
        <v>19</v>
      </c>
      <c r="E109" t="s">
        <v>18</v>
      </c>
      <c r="F109" s="3">
        <v>4.3749999999999997E-2</v>
      </c>
      <c r="G109" t="s">
        <v>166</v>
      </c>
      <c r="H109" t="s">
        <v>21</v>
      </c>
      <c r="I109" t="s">
        <v>22</v>
      </c>
      <c r="J109" t="b">
        <v>0</v>
      </c>
      <c r="K109" t="s">
        <v>66</v>
      </c>
      <c r="L109">
        <v>5474</v>
      </c>
      <c r="M109" t="s">
        <v>24</v>
      </c>
      <c r="N109">
        <v>20261105000108</v>
      </c>
      <c r="O109" t="s">
        <v>25</v>
      </c>
      <c r="P109" t="s">
        <v>26</v>
      </c>
      <c r="Q109" t="s">
        <v>27</v>
      </c>
      <c r="R109">
        <v>81.25</v>
      </c>
      <c r="S109">
        <v>96.67</v>
      </c>
    </row>
    <row r="110" spans="1:19">
      <c r="A110" t="s">
        <v>73</v>
      </c>
      <c r="B110" s="1">
        <v>45948</v>
      </c>
      <c r="C110" s="2">
        <v>0.82291666666666663</v>
      </c>
      <c r="D110" t="s">
        <v>29</v>
      </c>
      <c r="E110" t="s">
        <v>33</v>
      </c>
      <c r="F110" s="3">
        <v>4.5138888888888888E-2</v>
      </c>
      <c r="G110" t="s">
        <v>167</v>
      </c>
      <c r="H110" t="s">
        <v>21</v>
      </c>
      <c r="I110" t="s">
        <v>22</v>
      </c>
      <c r="J110" t="b">
        <v>0</v>
      </c>
      <c r="K110" t="s">
        <v>70</v>
      </c>
      <c r="L110">
        <v>9600</v>
      </c>
      <c r="M110" t="s">
        <v>24</v>
      </c>
      <c r="N110">
        <v>20261105000109</v>
      </c>
      <c r="O110" t="s">
        <v>25</v>
      </c>
      <c r="P110" t="s">
        <v>26</v>
      </c>
      <c r="Q110" t="s">
        <v>27</v>
      </c>
      <c r="R110">
        <v>78.260000000000005</v>
      </c>
      <c r="S110">
        <v>96.3</v>
      </c>
    </row>
    <row r="111" spans="1:19">
      <c r="A111" t="s">
        <v>73</v>
      </c>
      <c r="B111" s="1">
        <v>45948</v>
      </c>
      <c r="C111" s="2">
        <v>0.82291666666666663</v>
      </c>
      <c r="D111" t="s">
        <v>43</v>
      </c>
      <c r="E111" t="s">
        <v>32</v>
      </c>
      <c r="F111" s="3">
        <v>0.25</v>
      </c>
      <c r="G111" t="s">
        <v>168</v>
      </c>
      <c r="H111" t="s">
        <v>21</v>
      </c>
      <c r="I111" t="s">
        <v>22</v>
      </c>
      <c r="J111" t="b">
        <v>0</v>
      </c>
      <c r="K111" t="s">
        <v>72</v>
      </c>
      <c r="L111">
        <v>6000</v>
      </c>
      <c r="M111" t="s">
        <v>24</v>
      </c>
      <c r="N111">
        <v>20261105000111</v>
      </c>
      <c r="O111" t="s">
        <v>25</v>
      </c>
      <c r="P111" t="s">
        <v>26</v>
      </c>
      <c r="Q111" t="s">
        <v>27</v>
      </c>
      <c r="R111">
        <v>100</v>
      </c>
      <c r="S111">
        <v>64.290000000000006</v>
      </c>
    </row>
    <row r="112" spans="1:19">
      <c r="A112" t="s">
        <v>80</v>
      </c>
      <c r="B112" s="1">
        <v>45949</v>
      </c>
      <c r="C112" s="2">
        <v>0.58333333333333337</v>
      </c>
      <c r="D112" t="s">
        <v>42</v>
      </c>
      <c r="E112" t="s">
        <v>39</v>
      </c>
      <c r="F112" s="3">
        <v>0.12638888888888888</v>
      </c>
      <c r="G112" t="s">
        <v>145</v>
      </c>
      <c r="H112" t="s">
        <v>21</v>
      </c>
      <c r="I112" t="s">
        <v>22</v>
      </c>
      <c r="J112" t="b">
        <v>0</v>
      </c>
      <c r="K112" t="s">
        <v>45</v>
      </c>
      <c r="L112">
        <v>5619</v>
      </c>
      <c r="M112" t="s">
        <v>24</v>
      </c>
      <c r="N112">
        <v>20261105000110</v>
      </c>
      <c r="O112" t="s">
        <v>25</v>
      </c>
      <c r="P112" t="s">
        <v>26</v>
      </c>
      <c r="Q112" t="s">
        <v>27</v>
      </c>
      <c r="R112">
        <v>92.59</v>
      </c>
      <c r="S112">
        <v>91.89</v>
      </c>
    </row>
    <row r="113" spans="1:19">
      <c r="A113" t="s">
        <v>80</v>
      </c>
      <c r="B113" s="1">
        <v>45949</v>
      </c>
      <c r="C113" s="2">
        <v>0.58333333333333337</v>
      </c>
      <c r="D113" t="s">
        <v>51</v>
      </c>
      <c r="E113" t="s">
        <v>47</v>
      </c>
      <c r="F113" s="3">
        <v>0.16875000000000001</v>
      </c>
      <c r="G113" t="s">
        <v>169</v>
      </c>
      <c r="H113" t="s">
        <v>21</v>
      </c>
      <c r="I113" t="s">
        <v>22</v>
      </c>
      <c r="J113" t="b">
        <v>0</v>
      </c>
      <c r="K113" t="s">
        <v>54</v>
      </c>
      <c r="L113">
        <v>7450</v>
      </c>
      <c r="M113" t="s">
        <v>24</v>
      </c>
      <c r="N113">
        <v>20261105000112</v>
      </c>
      <c r="O113" t="s">
        <v>25</v>
      </c>
      <c r="P113" t="s">
        <v>26</v>
      </c>
      <c r="Q113" t="s">
        <v>27</v>
      </c>
      <c r="R113">
        <v>90.62</v>
      </c>
      <c r="S113">
        <v>82.61</v>
      </c>
    </row>
    <row r="114" spans="1:19">
      <c r="A114" t="s">
        <v>17</v>
      </c>
      <c r="B114" s="1">
        <v>45951</v>
      </c>
      <c r="C114" s="2">
        <v>0.82291666666666663</v>
      </c>
      <c r="D114" t="s">
        <v>39</v>
      </c>
      <c r="E114" t="s">
        <v>43</v>
      </c>
      <c r="F114" s="3">
        <v>8.4027777777777785E-2</v>
      </c>
      <c r="G114" t="s">
        <v>170</v>
      </c>
      <c r="H114" t="s">
        <v>21</v>
      </c>
      <c r="I114" t="s">
        <v>22</v>
      </c>
      <c r="J114" t="b">
        <v>0</v>
      </c>
      <c r="K114" t="s">
        <v>61</v>
      </c>
      <c r="L114">
        <v>3498</v>
      </c>
      <c r="M114" t="s">
        <v>24</v>
      </c>
      <c r="N114">
        <v>20261105000113</v>
      </c>
      <c r="O114" t="s">
        <v>25</v>
      </c>
      <c r="P114" t="s">
        <v>26</v>
      </c>
      <c r="Q114" t="s">
        <v>27</v>
      </c>
      <c r="R114">
        <v>96.43</v>
      </c>
      <c r="S114">
        <v>89.47</v>
      </c>
    </row>
    <row r="115" spans="1:19">
      <c r="A115" t="s">
        <v>17</v>
      </c>
      <c r="B115" s="1">
        <v>45951</v>
      </c>
      <c r="C115" s="2">
        <v>0.82291666666666663</v>
      </c>
      <c r="D115" t="s">
        <v>18</v>
      </c>
      <c r="E115" t="s">
        <v>52</v>
      </c>
      <c r="F115" s="3">
        <v>3.472222222222222E-3</v>
      </c>
      <c r="G115" t="s">
        <v>171</v>
      </c>
      <c r="H115" t="s">
        <v>21</v>
      </c>
      <c r="I115" t="s">
        <v>22</v>
      </c>
      <c r="J115" t="b">
        <v>0</v>
      </c>
      <c r="K115" t="s">
        <v>23</v>
      </c>
      <c r="L115">
        <v>6031</v>
      </c>
      <c r="M115" t="s">
        <v>24</v>
      </c>
      <c r="N115">
        <v>20261105000114</v>
      </c>
      <c r="O115" t="s">
        <v>25</v>
      </c>
      <c r="P115" t="s">
        <v>26</v>
      </c>
      <c r="Q115" t="s">
        <v>27</v>
      </c>
      <c r="R115">
        <v>84.21</v>
      </c>
      <c r="S115">
        <v>100</v>
      </c>
    </row>
    <row r="116" spans="1:19">
      <c r="A116" t="s">
        <v>17</v>
      </c>
      <c r="B116" s="1">
        <v>45951</v>
      </c>
      <c r="C116" s="2">
        <v>0.82291666666666663</v>
      </c>
      <c r="D116" t="s">
        <v>28</v>
      </c>
      <c r="E116" t="s">
        <v>47</v>
      </c>
      <c r="F116" s="3">
        <v>0.16875000000000001</v>
      </c>
      <c r="G116" t="s">
        <v>172</v>
      </c>
      <c r="H116" t="s">
        <v>35</v>
      </c>
      <c r="I116" t="s">
        <v>22</v>
      </c>
      <c r="J116" t="b">
        <v>0</v>
      </c>
      <c r="K116" t="s">
        <v>31</v>
      </c>
      <c r="L116">
        <v>4099</v>
      </c>
      <c r="M116" t="s">
        <v>24</v>
      </c>
      <c r="N116">
        <v>20261105000115</v>
      </c>
      <c r="O116" t="s">
        <v>25</v>
      </c>
      <c r="P116" t="s">
        <v>26</v>
      </c>
      <c r="Q116" t="s">
        <v>27</v>
      </c>
      <c r="R116">
        <v>89.29</v>
      </c>
      <c r="S116">
        <v>84</v>
      </c>
    </row>
    <row r="117" spans="1:19">
      <c r="A117" t="s">
        <v>17</v>
      </c>
      <c r="B117" s="1">
        <v>45951</v>
      </c>
      <c r="C117" s="2">
        <v>0.82291666666666663</v>
      </c>
      <c r="D117" t="s">
        <v>32</v>
      </c>
      <c r="E117" t="s">
        <v>51</v>
      </c>
      <c r="F117" s="3">
        <v>0.20972222222222223</v>
      </c>
      <c r="G117" t="s">
        <v>173</v>
      </c>
      <c r="H117" t="s">
        <v>21</v>
      </c>
      <c r="I117" t="s">
        <v>22</v>
      </c>
      <c r="J117" t="b">
        <v>0</v>
      </c>
      <c r="K117" t="s">
        <v>36</v>
      </c>
      <c r="L117">
        <v>9372</v>
      </c>
      <c r="M117" t="s">
        <v>24</v>
      </c>
      <c r="N117">
        <v>20261105000116</v>
      </c>
      <c r="O117" t="s">
        <v>25</v>
      </c>
      <c r="P117" t="s">
        <v>26</v>
      </c>
      <c r="Q117" t="s">
        <v>27</v>
      </c>
      <c r="R117">
        <v>87.5</v>
      </c>
      <c r="S117">
        <v>79.17</v>
      </c>
    </row>
    <row r="118" spans="1:19">
      <c r="A118" t="s">
        <v>17</v>
      </c>
      <c r="B118" s="1">
        <v>45951</v>
      </c>
      <c r="C118" s="2">
        <v>0.82291666666666663</v>
      </c>
      <c r="D118" t="s">
        <v>19</v>
      </c>
      <c r="E118" t="s">
        <v>38</v>
      </c>
      <c r="F118" s="3">
        <v>8.5416666666666669E-2</v>
      </c>
      <c r="G118" t="s">
        <v>174</v>
      </c>
      <c r="H118" t="s">
        <v>63</v>
      </c>
      <c r="I118" t="s">
        <v>22</v>
      </c>
      <c r="J118" t="b">
        <v>0</v>
      </c>
      <c r="K118" t="s">
        <v>66</v>
      </c>
      <c r="L118">
        <v>3721</v>
      </c>
      <c r="M118" t="s">
        <v>24</v>
      </c>
      <c r="N118">
        <v>20261105000117</v>
      </c>
      <c r="O118" t="s">
        <v>25</v>
      </c>
      <c r="P118" t="s">
        <v>26</v>
      </c>
      <c r="Q118" t="s">
        <v>27</v>
      </c>
      <c r="R118">
        <v>93.94</v>
      </c>
      <c r="S118">
        <v>91.3</v>
      </c>
    </row>
    <row r="119" spans="1:19">
      <c r="A119" t="s">
        <v>17</v>
      </c>
      <c r="B119" s="1">
        <v>45951</v>
      </c>
      <c r="C119" s="2">
        <v>0.82291666666666663</v>
      </c>
      <c r="D119" t="s">
        <v>33</v>
      </c>
      <c r="E119" t="s">
        <v>46</v>
      </c>
      <c r="F119" s="3">
        <v>0.20902777777777778</v>
      </c>
      <c r="G119" t="s">
        <v>175</v>
      </c>
      <c r="H119" t="s">
        <v>21</v>
      </c>
      <c r="I119" t="s">
        <v>22</v>
      </c>
      <c r="J119" t="b">
        <v>0</v>
      </c>
      <c r="K119" t="s">
        <v>68</v>
      </c>
      <c r="L119">
        <v>4958</v>
      </c>
      <c r="M119" t="s">
        <v>24</v>
      </c>
      <c r="N119">
        <v>20261105000118</v>
      </c>
      <c r="O119" t="s">
        <v>25</v>
      </c>
      <c r="P119" t="s">
        <v>26</v>
      </c>
      <c r="Q119" t="s">
        <v>27</v>
      </c>
      <c r="R119">
        <v>95.83</v>
      </c>
      <c r="S119">
        <v>82.76</v>
      </c>
    </row>
    <row r="120" spans="1:19">
      <c r="A120" t="s">
        <v>17</v>
      </c>
      <c r="B120" s="1">
        <v>45951</v>
      </c>
      <c r="C120" s="2">
        <v>0.82291666666666663</v>
      </c>
      <c r="D120" t="s">
        <v>29</v>
      </c>
      <c r="E120" t="s">
        <v>42</v>
      </c>
      <c r="F120" s="3">
        <v>8.4027777777777785E-2</v>
      </c>
      <c r="G120" t="s">
        <v>152</v>
      </c>
      <c r="H120" t="s">
        <v>35</v>
      </c>
      <c r="I120" t="s">
        <v>22</v>
      </c>
      <c r="J120" t="b">
        <v>0</v>
      </c>
      <c r="K120" t="s">
        <v>70</v>
      </c>
      <c r="L120">
        <v>9223</v>
      </c>
      <c r="M120" t="s">
        <v>24</v>
      </c>
      <c r="N120">
        <v>20261105000119</v>
      </c>
      <c r="O120" t="s">
        <v>25</v>
      </c>
      <c r="P120" t="s">
        <v>26</v>
      </c>
      <c r="Q120" t="s">
        <v>27</v>
      </c>
      <c r="R120">
        <v>94.74</v>
      </c>
      <c r="S120">
        <v>93.94</v>
      </c>
    </row>
    <row r="121" spans="1:19">
      <c r="A121" t="s">
        <v>55</v>
      </c>
      <c r="B121" s="1">
        <v>45953</v>
      </c>
      <c r="C121" s="2">
        <v>0.82291666666666663</v>
      </c>
      <c r="D121" t="s">
        <v>51</v>
      </c>
      <c r="E121" t="s">
        <v>39</v>
      </c>
      <c r="F121" s="3">
        <v>0.33541666666666664</v>
      </c>
      <c r="G121" t="s">
        <v>176</v>
      </c>
      <c r="H121" t="s">
        <v>21</v>
      </c>
      <c r="I121" t="s">
        <v>22</v>
      </c>
      <c r="J121" t="b">
        <v>0</v>
      </c>
      <c r="K121" t="s">
        <v>54</v>
      </c>
      <c r="L121">
        <v>6886</v>
      </c>
      <c r="M121" t="s">
        <v>24</v>
      </c>
      <c r="N121">
        <v>20261105000133</v>
      </c>
      <c r="O121" t="s">
        <v>25</v>
      </c>
      <c r="P121" t="s">
        <v>26</v>
      </c>
      <c r="Q121" t="s">
        <v>27</v>
      </c>
      <c r="R121">
        <v>85.71</v>
      </c>
      <c r="S121">
        <v>75.86</v>
      </c>
    </row>
    <row r="122" spans="1:19">
      <c r="A122" t="s">
        <v>59</v>
      </c>
      <c r="B122" s="1">
        <v>45954</v>
      </c>
      <c r="C122" s="2">
        <v>0.82291666666666663</v>
      </c>
      <c r="D122" t="s">
        <v>39</v>
      </c>
      <c r="E122" t="s">
        <v>28</v>
      </c>
      <c r="F122" s="3">
        <v>8.611111111111111E-2</v>
      </c>
      <c r="G122" t="s">
        <v>177</v>
      </c>
      <c r="H122" t="s">
        <v>21</v>
      </c>
      <c r="I122" t="s">
        <v>22</v>
      </c>
      <c r="J122" t="b">
        <v>0</v>
      </c>
      <c r="K122" t="s">
        <v>61</v>
      </c>
      <c r="L122">
        <v>4092</v>
      </c>
      <c r="M122" t="s">
        <v>24</v>
      </c>
      <c r="N122">
        <v>20261105000120</v>
      </c>
      <c r="O122" t="s">
        <v>25</v>
      </c>
      <c r="P122" t="s">
        <v>26</v>
      </c>
      <c r="Q122" t="s">
        <v>27</v>
      </c>
      <c r="R122">
        <v>85.71</v>
      </c>
      <c r="S122">
        <v>93.1</v>
      </c>
    </row>
    <row r="123" spans="1:19">
      <c r="A123" t="s">
        <v>59</v>
      </c>
      <c r="B123" s="1">
        <v>45954</v>
      </c>
      <c r="C123" s="2">
        <v>0.82291666666666663</v>
      </c>
      <c r="D123" t="s">
        <v>52</v>
      </c>
      <c r="E123" t="s">
        <v>33</v>
      </c>
      <c r="F123" s="3">
        <v>4.4444444444444446E-2</v>
      </c>
      <c r="G123" t="s">
        <v>178</v>
      </c>
      <c r="H123" t="s">
        <v>21</v>
      </c>
      <c r="I123" t="s">
        <v>22</v>
      </c>
      <c r="J123" t="b">
        <v>0</v>
      </c>
      <c r="K123" t="s">
        <v>64</v>
      </c>
      <c r="L123">
        <v>14502</v>
      </c>
      <c r="M123" t="s">
        <v>24</v>
      </c>
      <c r="N123">
        <v>20261105000122</v>
      </c>
      <c r="O123" t="s">
        <v>25</v>
      </c>
      <c r="P123" t="s">
        <v>26</v>
      </c>
      <c r="Q123" t="s">
        <v>27</v>
      </c>
      <c r="R123">
        <v>89.29</v>
      </c>
      <c r="S123">
        <v>96.43</v>
      </c>
    </row>
    <row r="124" spans="1:19">
      <c r="A124" t="s">
        <v>59</v>
      </c>
      <c r="B124" s="1">
        <v>45954</v>
      </c>
      <c r="C124" s="2">
        <v>0.82291666666666663</v>
      </c>
      <c r="D124" t="s">
        <v>47</v>
      </c>
      <c r="E124" t="s">
        <v>19</v>
      </c>
      <c r="F124" s="3">
        <v>0.20902777777777778</v>
      </c>
      <c r="G124" t="s">
        <v>179</v>
      </c>
      <c r="H124" t="s">
        <v>21</v>
      </c>
      <c r="I124" t="s">
        <v>22</v>
      </c>
      <c r="J124" t="b">
        <v>0</v>
      </c>
      <c r="K124" t="s">
        <v>57</v>
      </c>
      <c r="L124">
        <v>6021</v>
      </c>
      <c r="M124" t="s">
        <v>24</v>
      </c>
      <c r="N124">
        <v>20261105000123</v>
      </c>
      <c r="O124" t="s">
        <v>25</v>
      </c>
      <c r="P124" t="s">
        <v>26</v>
      </c>
      <c r="Q124" t="s">
        <v>27</v>
      </c>
      <c r="R124">
        <v>96.97</v>
      </c>
      <c r="S124">
        <v>83.87</v>
      </c>
    </row>
    <row r="125" spans="1:19">
      <c r="A125" t="s">
        <v>59</v>
      </c>
      <c r="B125" s="1">
        <v>45954</v>
      </c>
      <c r="C125" s="2">
        <v>0.82291666666666663</v>
      </c>
      <c r="D125" t="s">
        <v>42</v>
      </c>
      <c r="E125" t="s">
        <v>51</v>
      </c>
      <c r="F125" s="3">
        <v>8.7499999999999994E-2</v>
      </c>
      <c r="G125" t="s">
        <v>180</v>
      </c>
      <c r="H125" t="s">
        <v>21</v>
      </c>
      <c r="I125" t="s">
        <v>22</v>
      </c>
      <c r="J125" t="b">
        <v>0</v>
      </c>
      <c r="K125" t="s">
        <v>45</v>
      </c>
      <c r="L125">
        <v>5225</v>
      </c>
      <c r="M125" t="s">
        <v>24</v>
      </c>
      <c r="N125">
        <v>20261105000124</v>
      </c>
      <c r="O125" t="s">
        <v>25</v>
      </c>
      <c r="P125" t="s">
        <v>26</v>
      </c>
      <c r="Q125" t="s">
        <v>27</v>
      </c>
      <c r="R125">
        <v>83.33</v>
      </c>
      <c r="S125">
        <v>92.59</v>
      </c>
    </row>
    <row r="126" spans="1:19">
      <c r="A126" t="s">
        <v>59</v>
      </c>
      <c r="B126" s="1">
        <v>45954</v>
      </c>
      <c r="C126" s="2">
        <v>0.82291666666666663</v>
      </c>
      <c r="D126" t="s">
        <v>43</v>
      </c>
      <c r="E126" t="s">
        <v>29</v>
      </c>
      <c r="F126" s="3">
        <v>4.3055555555555555E-2</v>
      </c>
      <c r="G126" t="s">
        <v>181</v>
      </c>
      <c r="H126" t="s">
        <v>63</v>
      </c>
      <c r="I126" t="s">
        <v>22</v>
      </c>
      <c r="J126" t="b">
        <v>0</v>
      </c>
      <c r="K126" t="s">
        <v>72</v>
      </c>
      <c r="L126">
        <v>5406</v>
      </c>
      <c r="M126" t="s">
        <v>24</v>
      </c>
      <c r="N126">
        <v>20261105000125</v>
      </c>
      <c r="O126" t="s">
        <v>25</v>
      </c>
      <c r="P126" t="s">
        <v>26</v>
      </c>
      <c r="Q126" t="s">
        <v>27</v>
      </c>
      <c r="R126">
        <v>96.43</v>
      </c>
      <c r="S126">
        <v>96.77</v>
      </c>
    </row>
    <row r="127" spans="1:19">
      <c r="A127" t="s">
        <v>59</v>
      </c>
      <c r="B127" s="1">
        <v>45954</v>
      </c>
      <c r="C127" s="2">
        <v>0.82291666666666663</v>
      </c>
      <c r="D127" t="s">
        <v>46</v>
      </c>
      <c r="E127" t="s">
        <v>32</v>
      </c>
      <c r="F127" s="3">
        <v>4.3055555555555555E-2</v>
      </c>
      <c r="G127" t="s">
        <v>182</v>
      </c>
      <c r="H127" t="s">
        <v>35</v>
      </c>
      <c r="I127" t="s">
        <v>22</v>
      </c>
      <c r="J127" t="b">
        <v>0</v>
      </c>
      <c r="K127" t="s">
        <v>49</v>
      </c>
      <c r="L127">
        <v>11651</v>
      </c>
      <c r="M127" t="s">
        <v>58</v>
      </c>
      <c r="N127">
        <v>20261105000126</v>
      </c>
      <c r="O127" t="s">
        <v>25</v>
      </c>
      <c r="P127" t="s">
        <v>26</v>
      </c>
      <c r="Q127" t="s">
        <v>27</v>
      </c>
      <c r="R127">
        <v>93.75</v>
      </c>
      <c r="S127">
        <v>96.3</v>
      </c>
    </row>
    <row r="128" spans="1:19">
      <c r="A128" t="s">
        <v>59</v>
      </c>
      <c r="B128" s="1">
        <v>45954</v>
      </c>
      <c r="C128" s="2">
        <v>0.84722222222222221</v>
      </c>
      <c r="D128" t="s">
        <v>18</v>
      </c>
      <c r="E128" t="s">
        <v>38</v>
      </c>
      <c r="F128" s="3">
        <v>0.20972222222222223</v>
      </c>
      <c r="G128" t="s">
        <v>183</v>
      </c>
      <c r="H128" t="s">
        <v>21</v>
      </c>
      <c r="I128" t="s">
        <v>22</v>
      </c>
      <c r="J128" t="b">
        <v>0</v>
      </c>
      <c r="K128" t="s">
        <v>23</v>
      </c>
      <c r="L128">
        <v>6227</v>
      </c>
      <c r="M128" t="s">
        <v>24</v>
      </c>
      <c r="N128">
        <v>20261105000121</v>
      </c>
      <c r="O128" t="s">
        <v>25</v>
      </c>
      <c r="P128" t="s">
        <v>26</v>
      </c>
      <c r="Q128" t="s">
        <v>27</v>
      </c>
      <c r="R128">
        <v>94.44</v>
      </c>
      <c r="S128">
        <v>84.85</v>
      </c>
    </row>
    <row r="129" spans="1:20">
      <c r="A129" t="s">
        <v>73</v>
      </c>
      <c r="B129" s="1">
        <v>45955</v>
      </c>
      <c r="C129" s="2">
        <v>0.82291666666666663</v>
      </c>
      <c r="D129" t="s">
        <v>28</v>
      </c>
      <c r="E129" t="s">
        <v>43</v>
      </c>
      <c r="F129" s="3">
        <v>0.21041666666666667</v>
      </c>
      <c r="G129" t="s">
        <v>184</v>
      </c>
      <c r="H129" t="s">
        <v>21</v>
      </c>
      <c r="I129" t="s">
        <v>22</v>
      </c>
      <c r="J129" t="b">
        <v>0</v>
      </c>
      <c r="K129" t="s">
        <v>31</v>
      </c>
      <c r="L129">
        <v>6547</v>
      </c>
      <c r="M129" t="s">
        <v>24</v>
      </c>
      <c r="N129">
        <v>20261105000127</v>
      </c>
      <c r="O129" t="s">
        <v>25</v>
      </c>
      <c r="P129" t="s">
        <v>26</v>
      </c>
      <c r="Q129" t="s">
        <v>27</v>
      </c>
      <c r="R129">
        <v>90</v>
      </c>
      <c r="S129">
        <v>84</v>
      </c>
    </row>
    <row r="130" spans="1:20">
      <c r="A130" t="s">
        <v>73</v>
      </c>
      <c r="B130" s="1">
        <v>45955</v>
      </c>
      <c r="C130" s="2">
        <v>0.82291666666666663</v>
      </c>
      <c r="D130" t="s">
        <v>32</v>
      </c>
      <c r="E130" t="s">
        <v>52</v>
      </c>
      <c r="F130" s="3">
        <v>4.3055555555555555E-2</v>
      </c>
      <c r="G130" t="s">
        <v>185</v>
      </c>
      <c r="H130" t="s">
        <v>63</v>
      </c>
      <c r="I130" t="s">
        <v>22</v>
      </c>
      <c r="J130" t="b">
        <v>0</v>
      </c>
      <c r="K130" t="s">
        <v>36</v>
      </c>
      <c r="L130">
        <v>9372</v>
      </c>
      <c r="M130" t="s">
        <v>24</v>
      </c>
      <c r="N130">
        <v>20261105000128</v>
      </c>
      <c r="O130" t="s">
        <v>25</v>
      </c>
      <c r="P130" t="s">
        <v>26</v>
      </c>
      <c r="Q130" t="s">
        <v>27</v>
      </c>
      <c r="R130">
        <v>96.67</v>
      </c>
      <c r="S130">
        <v>97.37</v>
      </c>
    </row>
    <row r="131" spans="1:20">
      <c r="A131" t="s">
        <v>73</v>
      </c>
      <c r="B131" s="1">
        <v>45955</v>
      </c>
      <c r="C131" s="2">
        <v>0.82291666666666663</v>
      </c>
      <c r="D131" t="s">
        <v>38</v>
      </c>
      <c r="E131" t="s">
        <v>47</v>
      </c>
      <c r="F131" s="3">
        <v>0.25</v>
      </c>
      <c r="G131" t="s">
        <v>186</v>
      </c>
      <c r="H131" t="s">
        <v>21</v>
      </c>
      <c r="I131" t="s">
        <v>22</v>
      </c>
      <c r="J131" t="b">
        <v>0</v>
      </c>
      <c r="K131" t="s">
        <v>41</v>
      </c>
      <c r="L131">
        <v>6704</v>
      </c>
      <c r="M131" t="s">
        <v>24</v>
      </c>
      <c r="N131">
        <v>20261105000129</v>
      </c>
      <c r="O131" t="s">
        <v>25</v>
      </c>
      <c r="P131" t="s">
        <v>26</v>
      </c>
      <c r="Q131" t="s">
        <v>27</v>
      </c>
      <c r="R131">
        <v>100</v>
      </c>
      <c r="S131">
        <v>73.91</v>
      </c>
    </row>
    <row r="132" spans="1:20">
      <c r="A132" t="s">
        <v>73</v>
      </c>
      <c r="B132" s="1">
        <v>45955</v>
      </c>
      <c r="C132" s="2">
        <v>0.82291666666666663</v>
      </c>
      <c r="D132" t="s">
        <v>19</v>
      </c>
      <c r="E132" t="s">
        <v>46</v>
      </c>
      <c r="F132" s="3">
        <v>4.4444444444444446E-2</v>
      </c>
      <c r="G132" t="s">
        <v>187</v>
      </c>
      <c r="H132" t="s">
        <v>21</v>
      </c>
      <c r="I132" t="s">
        <v>22</v>
      </c>
      <c r="J132" t="b">
        <v>0</v>
      </c>
      <c r="K132" t="s">
        <v>66</v>
      </c>
      <c r="L132">
        <v>7453</v>
      </c>
      <c r="M132" t="s">
        <v>24</v>
      </c>
      <c r="N132">
        <v>20261105000130</v>
      </c>
      <c r="O132" t="s">
        <v>25</v>
      </c>
      <c r="P132" t="s">
        <v>26</v>
      </c>
      <c r="Q132" t="s">
        <v>27</v>
      </c>
      <c r="R132">
        <v>93.75</v>
      </c>
      <c r="S132">
        <v>96.67</v>
      </c>
    </row>
    <row r="133" spans="1:20" ht="15.75" thickBot="1">
      <c r="A133" t="s">
        <v>73</v>
      </c>
      <c r="B133" s="1">
        <v>45955</v>
      </c>
      <c r="C133" s="2">
        <v>0.82291666666666663</v>
      </c>
      <c r="D133" t="s">
        <v>33</v>
      </c>
      <c r="E133" t="s">
        <v>42</v>
      </c>
      <c r="F133" s="3">
        <v>0.125</v>
      </c>
      <c r="G133" t="s">
        <v>188</v>
      </c>
      <c r="H133" t="s">
        <v>21</v>
      </c>
      <c r="I133" t="s">
        <v>22</v>
      </c>
      <c r="J133" t="b">
        <v>0</v>
      </c>
      <c r="K133" t="s">
        <v>68</v>
      </c>
      <c r="L133">
        <v>5495</v>
      </c>
      <c r="M133" t="s">
        <v>24</v>
      </c>
      <c r="N133">
        <v>20261105000131</v>
      </c>
      <c r="O133" t="s">
        <v>25</v>
      </c>
      <c r="P133" t="s">
        <v>26</v>
      </c>
      <c r="Q133" t="s">
        <v>27</v>
      </c>
      <c r="R133">
        <v>100</v>
      </c>
      <c r="S133">
        <v>91.43</v>
      </c>
    </row>
    <row r="134" spans="1:20" ht="15.75" thickBot="1">
      <c r="A134" t="s">
        <v>73</v>
      </c>
      <c r="B134" s="1">
        <v>45955</v>
      </c>
      <c r="C134" s="2">
        <v>0.82291666666666663</v>
      </c>
      <c r="D134" t="s">
        <v>29</v>
      </c>
      <c r="E134" t="s">
        <v>18</v>
      </c>
      <c r="F134" s="3">
        <v>0.20902777777777778</v>
      </c>
      <c r="G134" t="s">
        <v>189</v>
      </c>
      <c r="H134" t="s">
        <v>21</v>
      </c>
      <c r="I134" t="s">
        <v>22</v>
      </c>
      <c r="J134" t="b">
        <v>0</v>
      </c>
      <c r="K134" t="s">
        <v>70</v>
      </c>
      <c r="L134">
        <v>9600</v>
      </c>
      <c r="M134" t="s">
        <v>24</v>
      </c>
      <c r="N134">
        <v>20261105000132</v>
      </c>
      <c r="O134" t="s">
        <v>25</v>
      </c>
      <c r="P134" t="s">
        <v>26</v>
      </c>
      <c r="Q134" t="s">
        <v>27</v>
      </c>
      <c r="R134">
        <v>96.55</v>
      </c>
      <c r="S134">
        <v>86.84</v>
      </c>
      <c r="T134" s="4"/>
    </row>
    <row r="135" spans="1:20">
      <c r="A135" t="s">
        <v>17</v>
      </c>
      <c r="B135" s="1">
        <v>45958</v>
      </c>
      <c r="C135" s="2">
        <v>0.82291666666666663</v>
      </c>
      <c r="D135" t="s">
        <v>18</v>
      </c>
      <c r="E135" t="s">
        <v>33</v>
      </c>
      <c r="F135" s="3">
        <v>8.6805555555555552E-2</v>
      </c>
      <c r="G135" t="s">
        <v>190</v>
      </c>
      <c r="H135" t="s">
        <v>21</v>
      </c>
      <c r="I135" t="s">
        <v>22</v>
      </c>
      <c r="J135" t="b">
        <v>0</v>
      </c>
      <c r="K135" t="s">
        <v>23</v>
      </c>
      <c r="L135">
        <v>6775</v>
      </c>
      <c r="M135" t="s">
        <v>37</v>
      </c>
      <c r="N135">
        <v>20261105000134</v>
      </c>
      <c r="O135" t="s">
        <v>25</v>
      </c>
      <c r="P135" t="s">
        <v>26</v>
      </c>
      <c r="Q135" t="s">
        <v>27</v>
      </c>
      <c r="R135">
        <v>89.74</v>
      </c>
      <c r="S135">
        <v>92</v>
      </c>
    </row>
    <row r="136" spans="1:20">
      <c r="A136" t="s">
        <v>17</v>
      </c>
      <c r="B136" s="1">
        <v>45958</v>
      </c>
      <c r="C136" s="2">
        <v>0.82291666666666663</v>
      </c>
      <c r="D136" t="s">
        <v>52</v>
      </c>
      <c r="E136" t="s">
        <v>39</v>
      </c>
      <c r="F136" s="3">
        <v>0.1701388888888889</v>
      </c>
      <c r="G136" t="s">
        <v>191</v>
      </c>
      <c r="H136" t="s">
        <v>21</v>
      </c>
      <c r="I136" t="s">
        <v>22</v>
      </c>
      <c r="J136" t="b">
        <v>0</v>
      </c>
      <c r="K136" t="s">
        <v>64</v>
      </c>
      <c r="L136">
        <v>13468</v>
      </c>
      <c r="M136" t="s">
        <v>24</v>
      </c>
      <c r="N136">
        <v>20261105000135</v>
      </c>
      <c r="O136" t="s">
        <v>25</v>
      </c>
      <c r="P136" t="s">
        <v>26</v>
      </c>
      <c r="Q136" t="s">
        <v>27</v>
      </c>
      <c r="R136">
        <v>69.23</v>
      </c>
      <c r="S136">
        <v>88.57</v>
      </c>
    </row>
    <row r="137" spans="1:20">
      <c r="A137" t="s">
        <v>17</v>
      </c>
      <c r="B137" s="1">
        <v>45958</v>
      </c>
      <c r="C137" s="2">
        <v>0.82291666666666663</v>
      </c>
      <c r="D137" t="s">
        <v>47</v>
      </c>
      <c r="E137" t="s">
        <v>29</v>
      </c>
      <c r="F137" s="3">
        <v>0.25069444444444444</v>
      </c>
      <c r="G137" t="s">
        <v>192</v>
      </c>
      <c r="H137" t="s">
        <v>21</v>
      </c>
      <c r="I137" t="s">
        <v>22</v>
      </c>
      <c r="J137" t="b">
        <v>0</v>
      </c>
      <c r="K137" t="s">
        <v>57</v>
      </c>
      <c r="L137">
        <v>5627</v>
      </c>
      <c r="M137" t="s">
        <v>24</v>
      </c>
      <c r="N137">
        <v>20261105000136</v>
      </c>
      <c r="O137" t="s">
        <v>25</v>
      </c>
      <c r="P137" t="s">
        <v>26</v>
      </c>
      <c r="Q137" t="s">
        <v>27</v>
      </c>
      <c r="R137">
        <v>96.43</v>
      </c>
      <c r="S137">
        <v>80</v>
      </c>
    </row>
    <row r="138" spans="1:20">
      <c r="A138" t="s">
        <v>17</v>
      </c>
      <c r="B138" s="1">
        <v>45958</v>
      </c>
      <c r="C138" s="2">
        <v>0.82291666666666663</v>
      </c>
      <c r="D138" t="s">
        <v>38</v>
      </c>
      <c r="E138" t="s">
        <v>28</v>
      </c>
      <c r="F138" s="3">
        <v>0.29166666666666669</v>
      </c>
      <c r="G138" t="s">
        <v>193</v>
      </c>
      <c r="H138" t="s">
        <v>21</v>
      </c>
      <c r="I138" t="s">
        <v>22</v>
      </c>
      <c r="J138" t="b">
        <v>0</v>
      </c>
      <c r="K138" t="s">
        <v>41</v>
      </c>
      <c r="L138">
        <v>6171</v>
      </c>
      <c r="M138" t="s">
        <v>24</v>
      </c>
      <c r="N138">
        <v>20261105000137</v>
      </c>
      <c r="O138" t="s">
        <v>25</v>
      </c>
      <c r="P138" t="s">
        <v>26</v>
      </c>
      <c r="Q138" t="s">
        <v>27</v>
      </c>
      <c r="R138">
        <v>100</v>
      </c>
      <c r="S138">
        <v>78.12</v>
      </c>
    </row>
    <row r="139" spans="1:20">
      <c r="A139" t="s">
        <v>17</v>
      </c>
      <c r="B139" s="1">
        <v>45958</v>
      </c>
      <c r="C139" s="2">
        <v>0.82291666666666663</v>
      </c>
      <c r="D139" t="s">
        <v>19</v>
      </c>
      <c r="E139" t="s">
        <v>32</v>
      </c>
      <c r="F139" s="3">
        <v>0.16805555555555557</v>
      </c>
      <c r="G139" t="s">
        <v>194</v>
      </c>
      <c r="H139" t="s">
        <v>21</v>
      </c>
      <c r="I139" t="s">
        <v>22</v>
      </c>
      <c r="J139" t="b">
        <v>0</v>
      </c>
      <c r="K139" t="s">
        <v>66</v>
      </c>
      <c r="L139">
        <v>4081</v>
      </c>
      <c r="M139" t="s">
        <v>24</v>
      </c>
      <c r="N139">
        <v>20261105000138</v>
      </c>
      <c r="O139" t="s">
        <v>25</v>
      </c>
      <c r="P139" t="s">
        <v>26</v>
      </c>
      <c r="Q139" t="s">
        <v>27</v>
      </c>
      <c r="R139">
        <v>90</v>
      </c>
      <c r="S139">
        <v>80.95</v>
      </c>
    </row>
    <row r="140" spans="1:20">
      <c r="A140" t="s">
        <v>17</v>
      </c>
      <c r="B140" s="1">
        <v>45958</v>
      </c>
      <c r="C140" s="2">
        <v>0.82291666666666663</v>
      </c>
      <c r="D140" t="s">
        <v>43</v>
      </c>
      <c r="E140" t="s">
        <v>51</v>
      </c>
      <c r="F140" s="3">
        <v>0.16805555555555557</v>
      </c>
      <c r="G140" t="s">
        <v>195</v>
      </c>
      <c r="H140" t="s">
        <v>21</v>
      </c>
      <c r="I140" t="s">
        <v>22</v>
      </c>
      <c r="J140" t="b">
        <v>0</v>
      </c>
      <c r="K140" t="s">
        <v>72</v>
      </c>
      <c r="L140">
        <v>5103</v>
      </c>
      <c r="M140" t="s">
        <v>24</v>
      </c>
      <c r="N140">
        <v>20261105000139</v>
      </c>
      <c r="O140" t="s">
        <v>25</v>
      </c>
      <c r="P140" t="s">
        <v>26</v>
      </c>
      <c r="Q140" t="s">
        <v>27</v>
      </c>
      <c r="R140">
        <v>92</v>
      </c>
      <c r="S140">
        <v>85.71</v>
      </c>
    </row>
    <row r="141" spans="1:20">
      <c r="A141" t="s">
        <v>17</v>
      </c>
      <c r="B141" s="1">
        <v>45958</v>
      </c>
      <c r="C141" s="2">
        <v>0.82291666666666663</v>
      </c>
      <c r="D141" t="s">
        <v>46</v>
      </c>
      <c r="E141" t="s">
        <v>42</v>
      </c>
      <c r="F141" s="3">
        <v>0.29166666666666669</v>
      </c>
      <c r="G141" t="s">
        <v>196</v>
      </c>
      <c r="H141" t="s">
        <v>21</v>
      </c>
      <c r="I141" t="s">
        <v>22</v>
      </c>
      <c r="J141" t="b">
        <v>0</v>
      </c>
      <c r="K141" t="s">
        <v>49</v>
      </c>
      <c r="L141">
        <v>10949</v>
      </c>
      <c r="M141" t="s">
        <v>24</v>
      </c>
      <c r="N141">
        <v>20261105000140</v>
      </c>
      <c r="O141" t="s">
        <v>25</v>
      </c>
      <c r="P141" t="s">
        <v>26</v>
      </c>
      <c r="Q141" t="s">
        <v>27</v>
      </c>
      <c r="R141">
        <v>100</v>
      </c>
      <c r="S141">
        <v>72.22</v>
      </c>
    </row>
    <row r="142" spans="1:20">
      <c r="A142" t="s">
        <v>128</v>
      </c>
      <c r="B142" s="1">
        <v>45959</v>
      </c>
      <c r="C142" s="2">
        <v>0.82291666666666663</v>
      </c>
      <c r="D142" t="s">
        <v>29</v>
      </c>
      <c r="E142" t="s">
        <v>28</v>
      </c>
      <c r="F142" s="3">
        <v>0.12638888888888888</v>
      </c>
      <c r="G142" t="s">
        <v>145</v>
      </c>
      <c r="H142" t="s">
        <v>21</v>
      </c>
      <c r="I142" t="s">
        <v>22</v>
      </c>
      <c r="J142" t="b">
        <v>0</v>
      </c>
      <c r="K142" t="s">
        <v>70</v>
      </c>
      <c r="L142">
        <v>9600</v>
      </c>
      <c r="M142" t="s">
        <v>24</v>
      </c>
      <c r="N142">
        <v>20261105000144</v>
      </c>
      <c r="O142" t="s">
        <v>25</v>
      </c>
      <c r="P142" t="s">
        <v>26</v>
      </c>
      <c r="Q142" t="s">
        <v>27</v>
      </c>
      <c r="R142">
        <v>92.59</v>
      </c>
      <c r="S142">
        <v>88.46</v>
      </c>
    </row>
    <row r="143" spans="1:20">
      <c r="A143" t="s">
        <v>55</v>
      </c>
      <c r="B143" s="1">
        <v>45960</v>
      </c>
      <c r="C143" s="2">
        <v>0.82291666666666663</v>
      </c>
      <c r="D143" t="s">
        <v>38</v>
      </c>
      <c r="E143" t="s">
        <v>51</v>
      </c>
      <c r="F143" s="3">
        <v>6.9444444444444447E-4</v>
      </c>
      <c r="G143" t="s">
        <v>111</v>
      </c>
      <c r="H143" t="s">
        <v>21</v>
      </c>
      <c r="I143" t="s">
        <v>22</v>
      </c>
      <c r="J143" t="b">
        <v>0</v>
      </c>
      <c r="K143" t="s">
        <v>41</v>
      </c>
      <c r="L143">
        <v>5583</v>
      </c>
      <c r="M143" t="s">
        <v>24</v>
      </c>
      <c r="N143">
        <v>20261105000152</v>
      </c>
      <c r="O143" t="s">
        <v>25</v>
      </c>
      <c r="P143" t="s">
        <v>26</v>
      </c>
      <c r="Q143" t="s">
        <v>27</v>
      </c>
      <c r="R143">
        <v>94.12</v>
      </c>
      <c r="S143">
        <v>100</v>
      </c>
    </row>
    <row r="144" spans="1:20">
      <c r="A144" t="s">
        <v>59</v>
      </c>
      <c r="B144" s="1">
        <v>45961</v>
      </c>
      <c r="C144" s="2">
        <v>0.82291666666666663</v>
      </c>
      <c r="D144" t="s">
        <v>39</v>
      </c>
      <c r="E144" t="s">
        <v>18</v>
      </c>
      <c r="F144" s="3">
        <v>0.1701388888888889</v>
      </c>
      <c r="G144" t="s">
        <v>197</v>
      </c>
      <c r="H144" t="s">
        <v>21</v>
      </c>
      <c r="I144" t="s">
        <v>22</v>
      </c>
      <c r="J144" t="b">
        <v>0</v>
      </c>
      <c r="K144" t="s">
        <v>61</v>
      </c>
      <c r="L144">
        <v>4547</v>
      </c>
      <c r="M144" t="s">
        <v>24</v>
      </c>
      <c r="N144">
        <v>20261105000141</v>
      </c>
      <c r="O144" t="s">
        <v>25</v>
      </c>
      <c r="P144" t="s">
        <v>26</v>
      </c>
      <c r="Q144" t="s">
        <v>27</v>
      </c>
      <c r="R144">
        <v>90</v>
      </c>
      <c r="S144">
        <v>91</v>
      </c>
    </row>
    <row r="145" spans="1:19">
      <c r="A145" t="s">
        <v>59</v>
      </c>
      <c r="B145" s="1">
        <v>45961</v>
      </c>
      <c r="C145" s="2">
        <v>0.82291666666666663</v>
      </c>
      <c r="D145" t="s">
        <v>47</v>
      </c>
      <c r="E145" t="s">
        <v>52</v>
      </c>
      <c r="F145" s="3">
        <v>0.21249999999999999</v>
      </c>
      <c r="G145" t="s">
        <v>198</v>
      </c>
      <c r="H145" t="s">
        <v>63</v>
      </c>
      <c r="I145" t="s">
        <v>22</v>
      </c>
      <c r="J145" t="b">
        <v>0</v>
      </c>
      <c r="K145" t="s">
        <v>57</v>
      </c>
      <c r="L145">
        <v>6556</v>
      </c>
      <c r="M145" t="s">
        <v>58</v>
      </c>
      <c r="N145">
        <v>20261105000142</v>
      </c>
      <c r="O145" t="s">
        <v>25</v>
      </c>
      <c r="P145" t="s">
        <v>26</v>
      </c>
      <c r="Q145" t="s">
        <v>27</v>
      </c>
      <c r="R145">
        <v>90</v>
      </c>
      <c r="S145">
        <v>91</v>
      </c>
    </row>
    <row r="146" spans="1:19">
      <c r="A146" t="s">
        <v>59</v>
      </c>
      <c r="B146" s="1">
        <v>45961</v>
      </c>
      <c r="C146" s="2">
        <v>0.82291666666666663</v>
      </c>
      <c r="D146" t="s">
        <v>42</v>
      </c>
      <c r="E146" t="s">
        <v>32</v>
      </c>
      <c r="F146" s="3">
        <v>6.9444444444444447E-4</v>
      </c>
      <c r="G146" t="s">
        <v>199</v>
      </c>
      <c r="H146" t="s">
        <v>63</v>
      </c>
      <c r="I146" t="s">
        <v>22</v>
      </c>
      <c r="J146" t="b">
        <v>0</v>
      </c>
      <c r="K146" t="s">
        <v>45</v>
      </c>
      <c r="L146">
        <v>4982</v>
      </c>
      <c r="M146" t="s">
        <v>24</v>
      </c>
      <c r="N146">
        <v>20261105000145</v>
      </c>
      <c r="O146" t="s">
        <v>25</v>
      </c>
      <c r="P146" t="s">
        <v>26</v>
      </c>
      <c r="Q146" t="s">
        <v>27</v>
      </c>
      <c r="R146">
        <v>90</v>
      </c>
      <c r="S146">
        <v>91</v>
      </c>
    </row>
    <row r="147" spans="1:19">
      <c r="A147" t="s">
        <v>59</v>
      </c>
      <c r="B147" s="1">
        <v>45961</v>
      </c>
      <c r="C147" s="2">
        <v>0.82291666666666663</v>
      </c>
      <c r="D147" t="s">
        <v>46</v>
      </c>
      <c r="E147" t="s">
        <v>43</v>
      </c>
      <c r="F147" s="3">
        <v>0.16805555555555557</v>
      </c>
      <c r="G147" t="s">
        <v>76</v>
      </c>
      <c r="H147" t="s">
        <v>21</v>
      </c>
      <c r="I147" t="s">
        <v>22</v>
      </c>
      <c r="J147" t="b">
        <v>0</v>
      </c>
      <c r="K147" t="s">
        <v>49</v>
      </c>
      <c r="L147">
        <v>10673</v>
      </c>
      <c r="M147" t="s">
        <v>24</v>
      </c>
      <c r="N147">
        <v>20261105000146</v>
      </c>
      <c r="O147" t="s">
        <v>25</v>
      </c>
      <c r="P147" t="s">
        <v>26</v>
      </c>
      <c r="Q147" t="s">
        <v>27</v>
      </c>
      <c r="R147">
        <v>90</v>
      </c>
      <c r="S147">
        <v>91</v>
      </c>
    </row>
    <row r="148" spans="1:19">
      <c r="A148" t="s">
        <v>73</v>
      </c>
      <c r="B148" s="1">
        <v>45962</v>
      </c>
      <c r="C148" s="2">
        <v>0.82291666666666663</v>
      </c>
      <c r="D148" t="s">
        <v>33</v>
      </c>
      <c r="E148" t="s">
        <v>38</v>
      </c>
      <c r="F148" s="3">
        <v>0.25138888888888888</v>
      </c>
      <c r="G148" t="s">
        <v>200</v>
      </c>
      <c r="H148" t="s">
        <v>21</v>
      </c>
      <c r="I148" t="s">
        <v>22</v>
      </c>
      <c r="J148" t="b">
        <v>0</v>
      </c>
      <c r="K148" t="s">
        <v>68</v>
      </c>
      <c r="L148">
        <v>5300</v>
      </c>
      <c r="M148" t="s">
        <v>24</v>
      </c>
      <c r="N148">
        <v>20261105000143</v>
      </c>
      <c r="O148" t="s">
        <v>25</v>
      </c>
      <c r="P148" t="s">
        <v>26</v>
      </c>
      <c r="Q148" t="s">
        <v>27</v>
      </c>
      <c r="R148">
        <v>90</v>
      </c>
      <c r="S148">
        <v>91</v>
      </c>
    </row>
    <row r="149" spans="1:19">
      <c r="A149" t="s">
        <v>73</v>
      </c>
      <c r="B149" s="1">
        <v>45962</v>
      </c>
      <c r="C149" s="2">
        <v>0.82291666666666663</v>
      </c>
      <c r="D149" t="s">
        <v>18</v>
      </c>
      <c r="E149" t="s">
        <v>47</v>
      </c>
      <c r="F149" s="3">
        <v>0.12569444444444444</v>
      </c>
      <c r="G149" t="s">
        <v>201</v>
      </c>
      <c r="H149" t="s">
        <v>21</v>
      </c>
      <c r="I149" t="s">
        <v>22</v>
      </c>
      <c r="J149" t="b">
        <v>0</v>
      </c>
      <c r="K149" t="s">
        <v>23</v>
      </c>
      <c r="L149">
        <v>6512</v>
      </c>
      <c r="M149" t="s">
        <v>24</v>
      </c>
      <c r="N149">
        <v>20261105000148</v>
      </c>
      <c r="O149" t="s">
        <v>25</v>
      </c>
      <c r="P149" t="s">
        <v>26</v>
      </c>
      <c r="Q149" t="s">
        <v>27</v>
      </c>
      <c r="R149">
        <v>90</v>
      </c>
      <c r="S149">
        <v>91</v>
      </c>
    </row>
    <row r="150" spans="1:19">
      <c r="A150" t="s">
        <v>73</v>
      </c>
      <c r="B150" s="1">
        <v>45962</v>
      </c>
      <c r="C150" s="2">
        <v>0.82291666666666663</v>
      </c>
      <c r="D150" t="s">
        <v>52</v>
      </c>
      <c r="E150" t="s">
        <v>46</v>
      </c>
      <c r="F150" s="3">
        <v>2.0833333333333333E-3</v>
      </c>
      <c r="G150" t="s">
        <v>202</v>
      </c>
      <c r="H150" t="s">
        <v>21</v>
      </c>
      <c r="I150" t="s">
        <v>22</v>
      </c>
      <c r="J150" t="b">
        <v>0</v>
      </c>
      <c r="K150" t="s">
        <v>64</v>
      </c>
      <c r="L150">
        <v>15645</v>
      </c>
      <c r="M150" t="s">
        <v>58</v>
      </c>
      <c r="N150">
        <v>20261105000149</v>
      </c>
      <c r="O150" t="s">
        <v>25</v>
      </c>
      <c r="P150" t="s">
        <v>26</v>
      </c>
      <c r="Q150" t="s">
        <v>27</v>
      </c>
      <c r="R150">
        <v>90</v>
      </c>
      <c r="S150">
        <v>91</v>
      </c>
    </row>
    <row r="151" spans="1:19">
      <c r="A151" t="s">
        <v>73</v>
      </c>
      <c r="B151" s="1">
        <v>45962</v>
      </c>
      <c r="C151" s="2">
        <v>0.82291666666666663</v>
      </c>
      <c r="D151" t="s">
        <v>28</v>
      </c>
      <c r="E151" t="s">
        <v>42</v>
      </c>
      <c r="F151" s="3">
        <v>0.25069444444444444</v>
      </c>
      <c r="G151" t="s">
        <v>203</v>
      </c>
      <c r="H151" t="s">
        <v>21</v>
      </c>
      <c r="I151" t="s">
        <v>22</v>
      </c>
      <c r="J151" t="b">
        <v>0</v>
      </c>
      <c r="K151" t="s">
        <v>31</v>
      </c>
      <c r="L151">
        <v>6547</v>
      </c>
      <c r="M151" t="s">
        <v>24</v>
      </c>
      <c r="N151">
        <v>20261105000150</v>
      </c>
      <c r="O151" t="s">
        <v>25</v>
      </c>
      <c r="P151" t="s">
        <v>26</v>
      </c>
      <c r="Q151" t="s">
        <v>27</v>
      </c>
      <c r="R151">
        <v>90</v>
      </c>
      <c r="S151">
        <v>91</v>
      </c>
    </row>
    <row r="152" spans="1:19">
      <c r="A152" t="s">
        <v>73</v>
      </c>
      <c r="B152" s="1">
        <v>45962</v>
      </c>
      <c r="C152" s="2">
        <v>0.82291666666666663</v>
      </c>
      <c r="D152" t="s">
        <v>19</v>
      </c>
      <c r="E152" t="s">
        <v>29</v>
      </c>
      <c r="F152" s="3">
        <v>8.4027777777777785E-2</v>
      </c>
      <c r="G152" t="s">
        <v>170</v>
      </c>
      <c r="H152" t="s">
        <v>21</v>
      </c>
      <c r="I152" t="s">
        <v>22</v>
      </c>
      <c r="J152" t="b">
        <v>0</v>
      </c>
      <c r="K152" t="s">
        <v>66</v>
      </c>
      <c r="L152">
        <v>4481</v>
      </c>
      <c r="M152" t="s">
        <v>24</v>
      </c>
      <c r="N152">
        <v>20261105000153</v>
      </c>
      <c r="O152" t="s">
        <v>25</v>
      </c>
      <c r="P152" t="s">
        <v>26</v>
      </c>
      <c r="Q152" t="s">
        <v>27</v>
      </c>
      <c r="R152">
        <v>90</v>
      </c>
      <c r="S152">
        <v>91</v>
      </c>
    </row>
    <row r="153" spans="1:19">
      <c r="A153" t="s">
        <v>128</v>
      </c>
      <c r="B153" s="1">
        <v>45973</v>
      </c>
      <c r="C153" s="2">
        <v>0.82291666666666663</v>
      </c>
      <c r="D153" t="s">
        <v>32</v>
      </c>
      <c r="E153" t="s">
        <v>39</v>
      </c>
      <c r="F153" s="3">
        <v>0.20902777777777778</v>
      </c>
      <c r="G153" t="s">
        <v>204</v>
      </c>
      <c r="H153" t="s">
        <v>21</v>
      </c>
      <c r="I153" t="s">
        <v>22</v>
      </c>
      <c r="J153" t="b">
        <v>0</v>
      </c>
      <c r="K153" t="s">
        <v>36</v>
      </c>
      <c r="L153">
        <v>9372</v>
      </c>
      <c r="M153" t="s">
        <v>24</v>
      </c>
      <c r="N153">
        <v>20261105000151</v>
      </c>
      <c r="O153" t="s">
        <v>25</v>
      </c>
      <c r="P153" t="s">
        <v>26</v>
      </c>
      <c r="Q153" t="s">
        <v>27</v>
      </c>
      <c r="R153">
        <v>90</v>
      </c>
      <c r="S153">
        <v>91</v>
      </c>
    </row>
    <row r="154" spans="1:19">
      <c r="A154" t="s">
        <v>128</v>
      </c>
      <c r="B154" s="1">
        <v>45973</v>
      </c>
      <c r="C154" s="2">
        <v>0.82291666666666663</v>
      </c>
      <c r="D154" t="s">
        <v>43</v>
      </c>
      <c r="E154" t="s">
        <v>33</v>
      </c>
      <c r="F154" s="3">
        <v>0.125</v>
      </c>
      <c r="G154" t="s">
        <v>188</v>
      </c>
      <c r="H154" t="s">
        <v>21</v>
      </c>
      <c r="I154" t="s">
        <v>22</v>
      </c>
      <c r="J154" t="b">
        <v>0</v>
      </c>
      <c r="K154" t="s">
        <v>72</v>
      </c>
      <c r="L154">
        <v>5234</v>
      </c>
      <c r="M154" t="s">
        <v>24</v>
      </c>
      <c r="N154">
        <v>20261105000154</v>
      </c>
      <c r="O154" t="s">
        <v>25</v>
      </c>
      <c r="P154" t="s">
        <v>26</v>
      </c>
      <c r="Q154" t="s">
        <v>27</v>
      </c>
      <c r="R154">
        <v>90</v>
      </c>
      <c r="S154">
        <v>91</v>
      </c>
    </row>
    <row r="155" spans="1:19">
      <c r="A155" t="s">
        <v>55</v>
      </c>
      <c r="B155" s="1">
        <v>45974</v>
      </c>
      <c r="C155" s="2">
        <v>0.83333333333333337</v>
      </c>
      <c r="D155" t="s">
        <v>38</v>
      </c>
      <c r="E155" t="s">
        <v>43</v>
      </c>
      <c r="F155" s="3">
        <v>0.12569444444444444</v>
      </c>
      <c r="G155" t="s">
        <v>205</v>
      </c>
      <c r="H155" t="s">
        <v>21</v>
      </c>
      <c r="I155" t="s">
        <v>22</v>
      </c>
      <c r="J155" t="b">
        <v>0</v>
      </c>
      <c r="K155" t="s">
        <v>41</v>
      </c>
      <c r="L155">
        <v>5841</v>
      </c>
      <c r="M155" t="s">
        <v>58</v>
      </c>
      <c r="N155">
        <v>20261105000158</v>
      </c>
      <c r="O155" t="s">
        <v>25</v>
      </c>
      <c r="P155" t="s">
        <v>26</v>
      </c>
      <c r="Q155" t="s">
        <v>27</v>
      </c>
      <c r="R155">
        <v>90</v>
      </c>
      <c r="S155">
        <v>91</v>
      </c>
    </row>
    <row r="156" spans="1:19">
      <c r="A156" t="s">
        <v>59</v>
      </c>
      <c r="B156" s="1">
        <v>45975</v>
      </c>
      <c r="C156" s="2">
        <v>0.82291666666666663</v>
      </c>
      <c r="D156" t="s">
        <v>52</v>
      </c>
      <c r="E156" t="s">
        <v>42</v>
      </c>
      <c r="F156" s="3">
        <v>0.20972222222222223</v>
      </c>
      <c r="G156" t="s">
        <v>206</v>
      </c>
      <c r="H156" t="s">
        <v>21</v>
      </c>
      <c r="I156" t="s">
        <v>22</v>
      </c>
      <c r="J156" t="b">
        <v>0</v>
      </c>
      <c r="K156" t="s">
        <v>64</v>
      </c>
      <c r="L156">
        <v>14975</v>
      </c>
      <c r="M156" t="s">
        <v>24</v>
      </c>
      <c r="N156">
        <v>20261105000155</v>
      </c>
      <c r="O156" t="s">
        <v>25</v>
      </c>
      <c r="P156" t="s">
        <v>26</v>
      </c>
      <c r="Q156" t="s">
        <v>27</v>
      </c>
      <c r="R156">
        <v>90</v>
      </c>
      <c r="S156">
        <v>91</v>
      </c>
    </row>
    <row r="157" spans="1:19">
      <c r="A157" t="s">
        <v>59</v>
      </c>
      <c r="B157" s="1">
        <v>45975</v>
      </c>
      <c r="C157" s="2">
        <v>0.82291666666666663</v>
      </c>
      <c r="D157" t="s">
        <v>47</v>
      </c>
      <c r="E157" t="s">
        <v>46</v>
      </c>
      <c r="F157" s="3">
        <v>1.3888888888888889E-3</v>
      </c>
      <c r="G157" t="s">
        <v>161</v>
      </c>
      <c r="H157" t="s">
        <v>21</v>
      </c>
      <c r="I157" t="s">
        <v>22</v>
      </c>
      <c r="J157" t="b">
        <v>0</v>
      </c>
      <c r="K157" t="s">
        <v>57</v>
      </c>
      <c r="L157">
        <v>6239</v>
      </c>
      <c r="M157" t="s">
        <v>24</v>
      </c>
      <c r="N157">
        <v>20261105000156</v>
      </c>
      <c r="O157" t="s">
        <v>25</v>
      </c>
      <c r="P157" t="s">
        <v>26</v>
      </c>
      <c r="Q157" t="s">
        <v>27</v>
      </c>
      <c r="R157">
        <v>90</v>
      </c>
      <c r="S157">
        <v>91</v>
      </c>
    </row>
    <row r="158" spans="1:19">
      <c r="A158" t="s">
        <v>59</v>
      </c>
      <c r="B158" s="1">
        <v>45975</v>
      </c>
      <c r="C158" s="2">
        <v>0.82291666666666663</v>
      </c>
      <c r="D158" t="s">
        <v>32</v>
      </c>
      <c r="E158" t="s">
        <v>28</v>
      </c>
      <c r="F158" s="3">
        <v>0.21041666666666667</v>
      </c>
      <c r="G158" t="s">
        <v>207</v>
      </c>
      <c r="H158" t="s">
        <v>21</v>
      </c>
      <c r="I158" t="s">
        <v>22</v>
      </c>
      <c r="J158" t="b">
        <v>0</v>
      </c>
      <c r="K158" t="s">
        <v>36</v>
      </c>
      <c r="L158">
        <v>9372</v>
      </c>
      <c r="M158" t="s">
        <v>58</v>
      </c>
      <c r="N158">
        <v>20261105000157</v>
      </c>
      <c r="O158" t="s">
        <v>25</v>
      </c>
      <c r="P158" t="s">
        <v>26</v>
      </c>
      <c r="Q158" t="s">
        <v>27</v>
      </c>
      <c r="R158">
        <v>90</v>
      </c>
      <c r="S158">
        <v>91</v>
      </c>
    </row>
    <row r="159" spans="1:19">
      <c r="A159" t="s">
        <v>59</v>
      </c>
      <c r="B159" s="1">
        <v>45975</v>
      </c>
      <c r="C159" s="2">
        <v>0.82291666666666663</v>
      </c>
      <c r="D159" t="s">
        <v>19</v>
      </c>
      <c r="E159" t="s">
        <v>33</v>
      </c>
      <c r="F159" s="3">
        <v>4.3055555555555555E-2</v>
      </c>
      <c r="G159" t="s">
        <v>123</v>
      </c>
      <c r="H159" t="s">
        <v>21</v>
      </c>
      <c r="I159" t="s">
        <v>22</v>
      </c>
      <c r="J159" t="b">
        <v>0</v>
      </c>
      <c r="K159" t="s">
        <v>66</v>
      </c>
      <c r="L159">
        <v>4601</v>
      </c>
      <c r="M159" t="s">
        <v>24</v>
      </c>
      <c r="N159">
        <v>20261105000159</v>
      </c>
      <c r="O159" t="s">
        <v>25</v>
      </c>
      <c r="P159" t="s">
        <v>26</v>
      </c>
      <c r="Q159" t="s">
        <v>27</v>
      </c>
      <c r="R159">
        <v>90</v>
      </c>
      <c r="S159">
        <v>91</v>
      </c>
    </row>
    <row r="160" spans="1:19">
      <c r="A160" t="s">
        <v>59</v>
      </c>
      <c r="B160" s="1">
        <v>45975</v>
      </c>
      <c r="C160" s="2">
        <v>0.82291666666666663</v>
      </c>
      <c r="D160" t="s">
        <v>29</v>
      </c>
      <c r="E160" t="s">
        <v>39</v>
      </c>
      <c r="F160" s="3">
        <v>0.12638888888888888</v>
      </c>
      <c r="G160" t="s">
        <v>208</v>
      </c>
      <c r="H160" t="s">
        <v>35</v>
      </c>
      <c r="I160" t="s">
        <v>22</v>
      </c>
      <c r="J160" t="b">
        <v>0</v>
      </c>
      <c r="K160" t="s">
        <v>70</v>
      </c>
      <c r="L160">
        <v>9600</v>
      </c>
      <c r="M160" t="s">
        <v>24</v>
      </c>
      <c r="N160">
        <v>20261105000160</v>
      </c>
      <c r="O160" t="s">
        <v>25</v>
      </c>
      <c r="P160" t="s">
        <v>26</v>
      </c>
      <c r="Q160" t="s">
        <v>27</v>
      </c>
      <c r="R160">
        <v>90</v>
      </c>
      <c r="S160">
        <v>91</v>
      </c>
    </row>
    <row r="161" spans="1:19">
      <c r="A161" t="s">
        <v>59</v>
      </c>
      <c r="B161" s="1">
        <v>45975</v>
      </c>
      <c r="C161" s="2">
        <v>0.82291666666666663</v>
      </c>
      <c r="D161" t="s">
        <v>51</v>
      </c>
      <c r="E161" t="s">
        <v>18</v>
      </c>
      <c r="F161" s="3">
        <v>0.16805555555555557</v>
      </c>
      <c r="G161" t="s">
        <v>209</v>
      </c>
      <c r="H161" t="s">
        <v>21</v>
      </c>
      <c r="I161" t="s">
        <v>22</v>
      </c>
      <c r="J161" t="b">
        <v>0</v>
      </c>
      <c r="K161" t="s">
        <v>54</v>
      </c>
      <c r="L161">
        <v>7450</v>
      </c>
      <c r="M161" t="s">
        <v>24</v>
      </c>
      <c r="N161">
        <v>20261105000161</v>
      </c>
      <c r="O161" t="s">
        <v>25</v>
      </c>
      <c r="P161" t="s">
        <v>26</v>
      </c>
      <c r="Q161" t="s">
        <v>27</v>
      </c>
      <c r="R161">
        <v>90</v>
      </c>
      <c r="S161">
        <v>91</v>
      </c>
    </row>
    <row r="162" spans="1:19">
      <c r="A162" t="s">
        <v>73</v>
      </c>
      <c r="B162" s="1">
        <v>45976</v>
      </c>
      <c r="C162" s="2">
        <v>0.82291666666666663</v>
      </c>
      <c r="D162" t="s">
        <v>39</v>
      </c>
      <c r="E162" t="s">
        <v>38</v>
      </c>
      <c r="F162" s="3">
        <v>8.3333333333333329E-2</v>
      </c>
      <c r="G162" t="s">
        <v>210</v>
      </c>
      <c r="H162" t="s">
        <v>21</v>
      </c>
      <c r="I162" t="s">
        <v>22</v>
      </c>
      <c r="J162" t="b">
        <v>0</v>
      </c>
      <c r="K162" t="s">
        <v>61</v>
      </c>
      <c r="L162">
        <v>4324</v>
      </c>
      <c r="M162" t="s">
        <v>24</v>
      </c>
      <c r="N162">
        <v>20261105000162</v>
      </c>
      <c r="O162" t="s">
        <v>25</v>
      </c>
      <c r="P162" t="s">
        <v>26</v>
      </c>
      <c r="Q162" t="s">
        <v>27</v>
      </c>
      <c r="R162">
        <v>90</v>
      </c>
      <c r="S162">
        <v>91</v>
      </c>
    </row>
    <row r="163" spans="1:19">
      <c r="A163" t="s">
        <v>73</v>
      </c>
      <c r="B163" s="1">
        <v>45976</v>
      </c>
      <c r="C163" s="2">
        <v>0.82291666666666663</v>
      </c>
      <c r="D163" t="s">
        <v>18</v>
      </c>
      <c r="E163" t="s">
        <v>32</v>
      </c>
      <c r="F163" s="3">
        <v>0.16805555555555557</v>
      </c>
      <c r="G163" t="s">
        <v>211</v>
      </c>
      <c r="H163" t="s">
        <v>21</v>
      </c>
      <c r="I163" t="s">
        <v>22</v>
      </c>
      <c r="J163" t="b">
        <v>0</v>
      </c>
      <c r="K163" t="s">
        <v>23</v>
      </c>
      <c r="L163">
        <v>6775</v>
      </c>
      <c r="M163" t="s">
        <v>24</v>
      </c>
      <c r="N163">
        <v>20261105000163</v>
      </c>
      <c r="O163" t="s">
        <v>25</v>
      </c>
      <c r="P163" t="s">
        <v>26</v>
      </c>
      <c r="Q163" t="s">
        <v>27</v>
      </c>
      <c r="R163">
        <v>90</v>
      </c>
      <c r="S163">
        <v>91</v>
      </c>
    </row>
    <row r="164" spans="1:19">
      <c r="A164" t="s">
        <v>73</v>
      </c>
      <c r="B164" s="1">
        <v>45976</v>
      </c>
      <c r="C164" s="2">
        <v>0.82291666666666663</v>
      </c>
      <c r="D164" t="s">
        <v>33</v>
      </c>
      <c r="E164" t="s">
        <v>47</v>
      </c>
      <c r="F164" s="3">
        <v>0.25</v>
      </c>
      <c r="G164" t="s">
        <v>212</v>
      </c>
      <c r="H164" t="s">
        <v>21</v>
      </c>
      <c r="I164" t="s">
        <v>22</v>
      </c>
      <c r="J164" t="b">
        <v>0</v>
      </c>
      <c r="K164" t="s">
        <v>68</v>
      </c>
      <c r="L164">
        <v>5507</v>
      </c>
      <c r="M164" t="s">
        <v>24</v>
      </c>
      <c r="N164">
        <v>20261105000165</v>
      </c>
      <c r="O164" t="s">
        <v>25</v>
      </c>
      <c r="P164" t="s">
        <v>26</v>
      </c>
      <c r="Q164" t="s">
        <v>27</v>
      </c>
      <c r="R164">
        <v>90</v>
      </c>
      <c r="S164">
        <v>91</v>
      </c>
    </row>
    <row r="165" spans="1:19">
      <c r="A165" t="s">
        <v>73</v>
      </c>
      <c r="B165" s="1">
        <v>45976</v>
      </c>
      <c r="C165" s="2">
        <v>0.82291666666666663</v>
      </c>
      <c r="D165" t="s">
        <v>42</v>
      </c>
      <c r="E165" t="s">
        <v>19</v>
      </c>
      <c r="F165" s="3">
        <v>0.12638888888888888</v>
      </c>
      <c r="G165" t="s">
        <v>213</v>
      </c>
      <c r="H165" t="s">
        <v>35</v>
      </c>
      <c r="I165" t="s">
        <v>22</v>
      </c>
      <c r="J165" t="b">
        <v>0</v>
      </c>
      <c r="K165" t="s">
        <v>45</v>
      </c>
      <c r="L165">
        <v>5352</v>
      </c>
      <c r="M165" t="s">
        <v>24</v>
      </c>
      <c r="N165">
        <v>20261105000166</v>
      </c>
      <c r="O165" t="s">
        <v>25</v>
      </c>
      <c r="P165" t="s">
        <v>26</v>
      </c>
      <c r="Q165" t="s">
        <v>27</v>
      </c>
      <c r="R165">
        <v>90</v>
      </c>
      <c r="S165">
        <v>91</v>
      </c>
    </row>
    <row r="166" spans="1:19">
      <c r="A166" t="s">
        <v>73</v>
      </c>
      <c r="B166" s="1">
        <v>45976</v>
      </c>
      <c r="C166" s="2">
        <v>0.82291666666666663</v>
      </c>
      <c r="D166" t="s">
        <v>43</v>
      </c>
      <c r="E166" t="s">
        <v>52</v>
      </c>
      <c r="F166" s="3">
        <v>0.12777777777777777</v>
      </c>
      <c r="G166" t="s">
        <v>114</v>
      </c>
      <c r="H166" t="s">
        <v>35</v>
      </c>
      <c r="I166" t="s">
        <v>22</v>
      </c>
      <c r="J166" t="b">
        <v>0</v>
      </c>
      <c r="K166" t="s">
        <v>72</v>
      </c>
      <c r="L166">
        <v>6000</v>
      </c>
      <c r="M166" t="s">
        <v>24</v>
      </c>
      <c r="N166">
        <v>20261105000167</v>
      </c>
      <c r="O166" t="s">
        <v>25</v>
      </c>
      <c r="P166" t="s">
        <v>26</v>
      </c>
      <c r="Q166" t="s">
        <v>27</v>
      </c>
      <c r="R166">
        <v>90</v>
      </c>
      <c r="S166">
        <v>91</v>
      </c>
    </row>
    <row r="167" spans="1:19">
      <c r="A167" t="s">
        <v>80</v>
      </c>
      <c r="B167" s="1">
        <v>45977</v>
      </c>
      <c r="C167" s="2">
        <v>0.65625</v>
      </c>
      <c r="D167" t="s">
        <v>28</v>
      </c>
      <c r="E167" t="s">
        <v>51</v>
      </c>
      <c r="F167" s="3">
        <v>0.20902777777777778</v>
      </c>
      <c r="G167" t="s">
        <v>214</v>
      </c>
      <c r="H167" t="s">
        <v>21</v>
      </c>
      <c r="I167" t="s">
        <v>22</v>
      </c>
      <c r="J167" t="b">
        <v>0</v>
      </c>
      <c r="K167" t="s">
        <v>31</v>
      </c>
      <c r="L167">
        <v>6547</v>
      </c>
      <c r="M167" t="s">
        <v>24</v>
      </c>
      <c r="N167">
        <v>20261105000164</v>
      </c>
      <c r="O167" t="s">
        <v>25</v>
      </c>
      <c r="P167" t="s">
        <v>26</v>
      </c>
      <c r="Q167" t="s">
        <v>27</v>
      </c>
      <c r="R167">
        <v>90</v>
      </c>
      <c r="S167">
        <v>91</v>
      </c>
    </row>
    <row r="168" spans="1:19">
      <c r="A168" t="s">
        <v>80</v>
      </c>
      <c r="B168" s="1">
        <v>45977</v>
      </c>
      <c r="C168" s="2">
        <v>0.65625</v>
      </c>
      <c r="D168" t="s">
        <v>46</v>
      </c>
      <c r="E168" t="s">
        <v>29</v>
      </c>
      <c r="F168" s="3">
        <v>4.3055555555555555E-2</v>
      </c>
      <c r="G168" t="s">
        <v>215</v>
      </c>
      <c r="H168" t="s">
        <v>63</v>
      </c>
      <c r="I168" t="s">
        <v>22</v>
      </c>
      <c r="J168" t="b">
        <v>0</v>
      </c>
      <c r="K168" t="s">
        <v>49</v>
      </c>
      <c r="L168">
        <v>12000</v>
      </c>
      <c r="M168" t="s">
        <v>24</v>
      </c>
      <c r="N168">
        <v>20261105000168</v>
      </c>
      <c r="O168" t="s">
        <v>25</v>
      </c>
      <c r="P168" t="s">
        <v>26</v>
      </c>
      <c r="Q168" t="s">
        <v>27</v>
      </c>
      <c r="R168">
        <v>90</v>
      </c>
      <c r="S168">
        <v>91</v>
      </c>
    </row>
    <row r="169" spans="1:19">
      <c r="A169" t="s">
        <v>128</v>
      </c>
      <c r="B169" s="1">
        <v>45980</v>
      </c>
      <c r="C169" s="2">
        <v>0.82291666666666663</v>
      </c>
      <c r="D169" t="s">
        <v>39</v>
      </c>
      <c r="E169" t="s">
        <v>47</v>
      </c>
      <c r="F169" s="3">
        <v>0.12777777777777777</v>
      </c>
      <c r="G169" t="s">
        <v>216</v>
      </c>
      <c r="H169" t="s">
        <v>35</v>
      </c>
      <c r="I169" t="s">
        <v>22</v>
      </c>
      <c r="J169" t="b">
        <v>0</v>
      </c>
      <c r="K169" t="s">
        <v>61</v>
      </c>
      <c r="L169">
        <v>4178</v>
      </c>
      <c r="M169" t="s">
        <v>50</v>
      </c>
      <c r="N169">
        <v>20261105000176</v>
      </c>
      <c r="O169" t="s">
        <v>25</v>
      </c>
      <c r="P169" t="s">
        <v>26</v>
      </c>
      <c r="Q169" t="s">
        <v>27</v>
      </c>
      <c r="R169">
        <v>90</v>
      </c>
      <c r="S169">
        <v>91</v>
      </c>
    </row>
    <row r="170" spans="1:19">
      <c r="A170" t="s">
        <v>55</v>
      </c>
      <c r="B170" s="1">
        <v>45981</v>
      </c>
      <c r="C170" s="2">
        <v>0.82291666666666663</v>
      </c>
      <c r="D170" t="s">
        <v>33</v>
      </c>
      <c r="E170" t="s">
        <v>32</v>
      </c>
      <c r="F170" s="3">
        <v>2.7777777777777779E-3</v>
      </c>
      <c r="G170" t="s">
        <v>217</v>
      </c>
      <c r="H170" t="s">
        <v>21</v>
      </c>
      <c r="I170" t="s">
        <v>22</v>
      </c>
      <c r="J170" t="b">
        <v>0</v>
      </c>
      <c r="K170" t="s">
        <v>68</v>
      </c>
      <c r="L170">
        <v>5512</v>
      </c>
      <c r="M170" t="s">
        <v>24</v>
      </c>
      <c r="N170">
        <v>20261105000180</v>
      </c>
      <c r="O170" t="s">
        <v>25</v>
      </c>
      <c r="P170" t="s">
        <v>26</v>
      </c>
      <c r="Q170" t="s">
        <v>27</v>
      </c>
      <c r="R170">
        <v>90</v>
      </c>
      <c r="S170">
        <v>91</v>
      </c>
    </row>
    <row r="171" spans="1:19">
      <c r="A171" t="s">
        <v>55</v>
      </c>
      <c r="B171" s="1">
        <v>45981</v>
      </c>
      <c r="C171" s="2">
        <v>0.83333333333333337</v>
      </c>
      <c r="D171" t="s">
        <v>28</v>
      </c>
      <c r="E171" t="s">
        <v>18</v>
      </c>
      <c r="F171" s="3">
        <v>0.17083333333333334</v>
      </c>
      <c r="G171" t="s">
        <v>143</v>
      </c>
      <c r="H171" t="s">
        <v>21</v>
      </c>
      <c r="I171" t="s">
        <v>22</v>
      </c>
      <c r="J171" t="b">
        <v>0</v>
      </c>
      <c r="K171" t="s">
        <v>31</v>
      </c>
      <c r="L171">
        <v>4505</v>
      </c>
      <c r="M171" t="s">
        <v>58</v>
      </c>
      <c r="N171">
        <v>20261105000170</v>
      </c>
      <c r="O171" t="s">
        <v>25</v>
      </c>
      <c r="P171" t="s">
        <v>26</v>
      </c>
      <c r="Q171" t="s">
        <v>27</v>
      </c>
      <c r="R171">
        <v>90</v>
      </c>
      <c r="S171">
        <v>91</v>
      </c>
    </row>
    <row r="172" spans="1:19">
      <c r="A172" t="s">
        <v>59</v>
      </c>
      <c r="B172" s="1">
        <v>45982</v>
      </c>
      <c r="C172" s="2">
        <v>0.82291666666666663</v>
      </c>
      <c r="D172" t="s">
        <v>47</v>
      </c>
      <c r="E172" t="s">
        <v>43</v>
      </c>
      <c r="F172" s="3">
        <v>0.25347222222222221</v>
      </c>
      <c r="G172" t="s">
        <v>218</v>
      </c>
      <c r="H172" t="s">
        <v>21</v>
      </c>
      <c r="I172" t="s">
        <v>22</v>
      </c>
      <c r="J172" t="b">
        <v>0</v>
      </c>
      <c r="K172" t="s">
        <v>57</v>
      </c>
      <c r="L172">
        <v>6436</v>
      </c>
      <c r="M172" t="s">
        <v>24</v>
      </c>
      <c r="N172">
        <v>20261105000169</v>
      </c>
      <c r="O172" t="s">
        <v>25</v>
      </c>
      <c r="P172" t="s">
        <v>26</v>
      </c>
      <c r="Q172" t="s">
        <v>27</v>
      </c>
      <c r="R172">
        <v>90</v>
      </c>
      <c r="S172">
        <v>91</v>
      </c>
    </row>
    <row r="173" spans="1:19">
      <c r="A173" t="s">
        <v>59</v>
      </c>
      <c r="B173" s="1">
        <v>45982</v>
      </c>
      <c r="C173" s="2">
        <v>0.82291666666666663</v>
      </c>
      <c r="D173" t="s">
        <v>32</v>
      </c>
      <c r="E173" t="s">
        <v>29</v>
      </c>
      <c r="F173" s="3">
        <v>8.4027777777777785E-2</v>
      </c>
      <c r="G173" t="s">
        <v>20</v>
      </c>
      <c r="H173" t="s">
        <v>21</v>
      </c>
      <c r="I173" t="s">
        <v>22</v>
      </c>
      <c r="J173" t="b">
        <v>0</v>
      </c>
      <c r="K173" t="s">
        <v>36</v>
      </c>
      <c r="L173">
        <v>9372</v>
      </c>
      <c r="M173" t="s">
        <v>50</v>
      </c>
      <c r="N173">
        <v>20261105000171</v>
      </c>
      <c r="O173" t="s">
        <v>25</v>
      </c>
      <c r="P173" t="s">
        <v>26</v>
      </c>
      <c r="Q173" t="s">
        <v>27</v>
      </c>
      <c r="R173">
        <v>90</v>
      </c>
      <c r="S173">
        <v>91</v>
      </c>
    </row>
    <row r="174" spans="1:19">
      <c r="A174" t="s">
        <v>59</v>
      </c>
      <c r="B174" s="1">
        <v>45982</v>
      </c>
      <c r="C174" s="2">
        <v>0.82291666666666663</v>
      </c>
      <c r="D174" t="s">
        <v>19</v>
      </c>
      <c r="E174" t="s">
        <v>52</v>
      </c>
      <c r="F174" s="3">
        <v>0.16805555555555557</v>
      </c>
      <c r="G174" t="s">
        <v>76</v>
      </c>
      <c r="H174" t="s">
        <v>21</v>
      </c>
      <c r="I174" t="s">
        <v>22</v>
      </c>
      <c r="J174" t="b">
        <v>0</v>
      </c>
      <c r="K174" t="s">
        <v>66</v>
      </c>
      <c r="L174">
        <v>5127</v>
      </c>
      <c r="M174" t="s">
        <v>24</v>
      </c>
      <c r="N174">
        <v>20261105000172</v>
      </c>
      <c r="O174" t="s">
        <v>25</v>
      </c>
      <c r="P174" t="s">
        <v>26</v>
      </c>
      <c r="Q174" t="s">
        <v>27</v>
      </c>
      <c r="R174">
        <v>90</v>
      </c>
      <c r="S174">
        <v>91</v>
      </c>
    </row>
    <row r="175" spans="1:19">
      <c r="A175" t="s">
        <v>59</v>
      </c>
      <c r="B175" s="1">
        <v>45982</v>
      </c>
      <c r="C175" s="2">
        <v>0.82291666666666663</v>
      </c>
      <c r="D175" t="s">
        <v>42</v>
      </c>
      <c r="E175" t="s">
        <v>38</v>
      </c>
      <c r="F175" s="3">
        <v>8.6805555555555552E-2</v>
      </c>
      <c r="G175" t="s">
        <v>219</v>
      </c>
      <c r="H175" t="s">
        <v>21</v>
      </c>
      <c r="I175" t="s">
        <v>22</v>
      </c>
      <c r="J175" t="b">
        <v>0</v>
      </c>
      <c r="K175" t="s">
        <v>45</v>
      </c>
      <c r="L175">
        <v>4512</v>
      </c>
      <c r="M175" t="s">
        <v>24</v>
      </c>
      <c r="N175">
        <v>20261105000173</v>
      </c>
      <c r="O175" t="s">
        <v>25</v>
      </c>
      <c r="P175" t="s">
        <v>26</v>
      </c>
      <c r="Q175" t="s">
        <v>27</v>
      </c>
      <c r="R175">
        <v>90</v>
      </c>
      <c r="S175">
        <v>91</v>
      </c>
    </row>
    <row r="176" spans="1:19">
      <c r="A176" t="s">
        <v>59</v>
      </c>
      <c r="B176" s="1">
        <v>45982</v>
      </c>
      <c r="C176" s="2">
        <v>0.82291666666666663</v>
      </c>
      <c r="D176" t="s">
        <v>46</v>
      </c>
      <c r="E176" t="s">
        <v>39</v>
      </c>
      <c r="F176" s="3">
        <v>8.5416666666666669E-2</v>
      </c>
      <c r="G176" t="s">
        <v>220</v>
      </c>
      <c r="H176" t="s">
        <v>21</v>
      </c>
      <c r="I176" t="s">
        <v>22</v>
      </c>
      <c r="J176" t="b">
        <v>0</v>
      </c>
      <c r="K176" t="s">
        <v>49</v>
      </c>
      <c r="L176">
        <v>10810</v>
      </c>
      <c r="M176" t="s">
        <v>24</v>
      </c>
      <c r="N176">
        <v>20261105000174</v>
      </c>
      <c r="O176" t="s">
        <v>25</v>
      </c>
      <c r="P176" t="s">
        <v>26</v>
      </c>
      <c r="Q176" t="s">
        <v>27</v>
      </c>
      <c r="R176">
        <v>90</v>
      </c>
      <c r="S176">
        <v>91</v>
      </c>
    </row>
    <row r="177" spans="1:19">
      <c r="A177" t="s">
        <v>59</v>
      </c>
      <c r="B177" s="1">
        <v>45982</v>
      </c>
      <c r="C177" s="2">
        <v>0.82291666666666663</v>
      </c>
      <c r="D177" t="s">
        <v>51</v>
      </c>
      <c r="E177" t="s">
        <v>33</v>
      </c>
      <c r="F177" s="3">
        <v>8.5416666666666669E-2</v>
      </c>
      <c r="G177" t="s">
        <v>221</v>
      </c>
      <c r="H177" t="s">
        <v>21</v>
      </c>
      <c r="I177" t="s">
        <v>22</v>
      </c>
      <c r="J177" t="b">
        <v>0</v>
      </c>
      <c r="K177" t="s">
        <v>54</v>
      </c>
      <c r="L177">
        <v>7450</v>
      </c>
      <c r="M177" t="s">
        <v>222</v>
      </c>
      <c r="N177">
        <v>20261105000175</v>
      </c>
      <c r="O177" t="s">
        <v>25</v>
      </c>
      <c r="P177" t="s">
        <v>26</v>
      </c>
      <c r="Q177" t="s">
        <v>27</v>
      </c>
      <c r="R177">
        <v>90</v>
      </c>
      <c r="S177">
        <v>91</v>
      </c>
    </row>
    <row r="178" spans="1:19">
      <c r="A178" t="s">
        <v>73</v>
      </c>
      <c r="B178" s="1">
        <v>45983</v>
      </c>
      <c r="C178" s="2">
        <v>0.82291666666666663</v>
      </c>
      <c r="D178" t="s">
        <v>18</v>
      </c>
      <c r="E178" t="s">
        <v>42</v>
      </c>
      <c r="F178" s="3">
        <v>4.5138888888888888E-2</v>
      </c>
      <c r="G178" t="s">
        <v>223</v>
      </c>
      <c r="H178" t="s">
        <v>21</v>
      </c>
      <c r="I178" t="s">
        <v>22</v>
      </c>
      <c r="J178" t="b">
        <v>0</v>
      </c>
      <c r="K178" t="s">
        <v>23</v>
      </c>
      <c r="L178">
        <v>6590</v>
      </c>
      <c r="M178" t="s">
        <v>24</v>
      </c>
      <c r="N178">
        <v>20261105000177</v>
      </c>
      <c r="O178" t="s">
        <v>25</v>
      </c>
      <c r="P178" t="s">
        <v>26</v>
      </c>
      <c r="Q178" t="s">
        <v>27</v>
      </c>
      <c r="R178">
        <v>90</v>
      </c>
      <c r="S178">
        <v>91</v>
      </c>
    </row>
    <row r="179" spans="1:19">
      <c r="A179" t="s">
        <v>73</v>
      </c>
      <c r="B179" s="1">
        <v>45983</v>
      </c>
      <c r="C179" s="2">
        <v>0.82291666666666663</v>
      </c>
      <c r="D179" t="s">
        <v>52</v>
      </c>
      <c r="E179" t="s">
        <v>28</v>
      </c>
      <c r="F179" s="3">
        <v>2.0833333333333333E-3</v>
      </c>
      <c r="G179" t="s">
        <v>202</v>
      </c>
      <c r="H179" t="s">
        <v>21</v>
      </c>
      <c r="I179" t="s">
        <v>22</v>
      </c>
      <c r="J179" t="b">
        <v>0</v>
      </c>
      <c r="K179" t="s">
        <v>64</v>
      </c>
      <c r="L179">
        <v>16002</v>
      </c>
      <c r="M179" t="s">
        <v>24</v>
      </c>
      <c r="N179">
        <v>20261105000178</v>
      </c>
      <c r="O179" t="s">
        <v>25</v>
      </c>
      <c r="P179" t="s">
        <v>26</v>
      </c>
      <c r="Q179" t="s">
        <v>27</v>
      </c>
      <c r="R179">
        <v>90</v>
      </c>
      <c r="S179">
        <v>91</v>
      </c>
    </row>
    <row r="180" spans="1:19">
      <c r="A180" t="s">
        <v>73</v>
      </c>
      <c r="B180" s="1">
        <v>45983</v>
      </c>
      <c r="C180" s="2">
        <v>0.82291666666666663</v>
      </c>
      <c r="D180" t="s">
        <v>38</v>
      </c>
      <c r="E180" t="s">
        <v>46</v>
      </c>
      <c r="F180" s="3">
        <v>0.1673611111111111</v>
      </c>
      <c r="G180" t="s">
        <v>224</v>
      </c>
      <c r="H180" t="s">
        <v>21</v>
      </c>
      <c r="I180" t="s">
        <v>22</v>
      </c>
      <c r="J180" t="b">
        <v>0</v>
      </c>
      <c r="K180" t="s">
        <v>41</v>
      </c>
      <c r="L180">
        <v>6407</v>
      </c>
      <c r="M180" t="s">
        <v>24</v>
      </c>
      <c r="N180">
        <v>20261105000179</v>
      </c>
      <c r="O180" t="s">
        <v>25</v>
      </c>
      <c r="P180" t="s">
        <v>26</v>
      </c>
      <c r="Q180" t="s">
        <v>27</v>
      </c>
      <c r="R180">
        <v>90</v>
      </c>
      <c r="S180">
        <v>91</v>
      </c>
    </row>
    <row r="181" spans="1:19">
      <c r="A181" t="s">
        <v>73</v>
      </c>
      <c r="B181" s="1">
        <v>45983</v>
      </c>
      <c r="C181" s="2">
        <v>0.82291666666666663</v>
      </c>
      <c r="D181" t="s">
        <v>29</v>
      </c>
      <c r="E181" t="s">
        <v>51</v>
      </c>
      <c r="F181" s="3">
        <v>0.20972222222222223</v>
      </c>
      <c r="G181" t="s">
        <v>225</v>
      </c>
      <c r="H181" t="s">
        <v>21</v>
      </c>
      <c r="I181" t="s">
        <v>22</v>
      </c>
      <c r="J181" t="b">
        <v>0</v>
      </c>
      <c r="K181" t="s">
        <v>70</v>
      </c>
      <c r="L181">
        <v>9600</v>
      </c>
      <c r="M181" t="s">
        <v>24</v>
      </c>
      <c r="N181">
        <v>20261105000181</v>
      </c>
      <c r="O181" t="s">
        <v>25</v>
      </c>
      <c r="P181" t="s">
        <v>26</v>
      </c>
      <c r="Q181" t="s">
        <v>27</v>
      </c>
      <c r="R181">
        <v>90</v>
      </c>
      <c r="S181">
        <v>91</v>
      </c>
    </row>
    <row r="182" spans="1:19">
      <c r="A182" t="s">
        <v>73</v>
      </c>
      <c r="B182" s="1">
        <v>45983</v>
      </c>
      <c r="C182" s="2">
        <v>0.82291666666666663</v>
      </c>
      <c r="D182" t="s">
        <v>43</v>
      </c>
      <c r="E182" t="s">
        <v>19</v>
      </c>
      <c r="F182" s="3">
        <v>0.25069444444444444</v>
      </c>
      <c r="G182" t="s">
        <v>226</v>
      </c>
      <c r="H182" t="s">
        <v>21</v>
      </c>
      <c r="I182" t="s">
        <v>22</v>
      </c>
      <c r="J182" t="b">
        <v>0</v>
      </c>
      <c r="K182" t="s">
        <v>72</v>
      </c>
      <c r="L182">
        <v>6000</v>
      </c>
      <c r="M182" t="s">
        <v>24</v>
      </c>
      <c r="N182">
        <v>20261105000182</v>
      </c>
      <c r="O182" t="s">
        <v>25</v>
      </c>
      <c r="P182" t="s">
        <v>26</v>
      </c>
      <c r="Q182" t="s">
        <v>27</v>
      </c>
      <c r="R182">
        <v>90</v>
      </c>
      <c r="S182">
        <v>91</v>
      </c>
    </row>
    <row r="183" spans="1:19">
      <c r="A183" t="s">
        <v>17</v>
      </c>
      <c r="B183" s="1">
        <v>45986</v>
      </c>
      <c r="C183" s="2">
        <v>0.82291666666666663</v>
      </c>
      <c r="D183" t="s">
        <v>47</v>
      </c>
      <c r="E183" t="s">
        <v>19</v>
      </c>
      <c r="F183" s="3">
        <v>0.12569444444444444</v>
      </c>
      <c r="G183" t="s">
        <v>227</v>
      </c>
      <c r="H183" t="s">
        <v>21</v>
      </c>
      <c r="I183" t="s">
        <v>22</v>
      </c>
      <c r="J183" t="b">
        <v>0</v>
      </c>
      <c r="K183" t="s">
        <v>57</v>
      </c>
      <c r="L183">
        <v>5545</v>
      </c>
      <c r="M183" t="s">
        <v>24</v>
      </c>
      <c r="N183">
        <v>20261105000184</v>
      </c>
      <c r="O183" t="s">
        <v>25</v>
      </c>
      <c r="P183" t="s">
        <v>26</v>
      </c>
      <c r="Q183" t="s">
        <v>27</v>
      </c>
      <c r="R183">
        <v>90</v>
      </c>
      <c r="S183">
        <v>91</v>
      </c>
    </row>
    <row r="184" spans="1:19">
      <c r="A184" t="s">
        <v>17</v>
      </c>
      <c r="B184" s="1">
        <v>45986</v>
      </c>
      <c r="C184" s="2">
        <v>0.82291666666666663</v>
      </c>
      <c r="D184" t="s">
        <v>32</v>
      </c>
      <c r="E184" t="s">
        <v>38</v>
      </c>
      <c r="F184" s="3">
        <v>8.6805555555555552E-2</v>
      </c>
      <c r="G184" t="s">
        <v>228</v>
      </c>
      <c r="H184" t="s">
        <v>21</v>
      </c>
      <c r="I184" t="s">
        <v>22</v>
      </c>
      <c r="J184" t="b">
        <v>0</v>
      </c>
      <c r="K184" t="s">
        <v>36</v>
      </c>
      <c r="L184">
        <v>9372</v>
      </c>
      <c r="M184" t="s">
        <v>24</v>
      </c>
      <c r="N184">
        <v>20261105000186</v>
      </c>
      <c r="O184" t="s">
        <v>25</v>
      </c>
      <c r="P184" t="s">
        <v>26</v>
      </c>
      <c r="Q184" t="s">
        <v>27</v>
      </c>
      <c r="R184">
        <v>90</v>
      </c>
      <c r="S184">
        <v>91</v>
      </c>
    </row>
    <row r="185" spans="1:19">
      <c r="A185" t="s">
        <v>17</v>
      </c>
      <c r="B185" s="1">
        <v>45986</v>
      </c>
      <c r="C185" s="2">
        <v>0.82291666666666663</v>
      </c>
      <c r="D185" t="s">
        <v>42</v>
      </c>
      <c r="E185" t="s">
        <v>29</v>
      </c>
      <c r="F185" s="3">
        <v>0.12777777777777777</v>
      </c>
      <c r="G185" t="s">
        <v>229</v>
      </c>
      <c r="H185" t="s">
        <v>21</v>
      </c>
      <c r="I185" t="s">
        <v>22</v>
      </c>
      <c r="J185" t="b">
        <v>0</v>
      </c>
      <c r="K185" t="s">
        <v>45</v>
      </c>
      <c r="L185">
        <v>4256</v>
      </c>
      <c r="M185" t="s">
        <v>24</v>
      </c>
      <c r="N185">
        <v>20261105000187</v>
      </c>
      <c r="O185" t="s">
        <v>25</v>
      </c>
      <c r="P185" t="s">
        <v>26</v>
      </c>
      <c r="Q185" t="s">
        <v>27</v>
      </c>
      <c r="R185">
        <v>90</v>
      </c>
      <c r="S185">
        <v>91</v>
      </c>
    </row>
    <row r="186" spans="1:19">
      <c r="A186" t="s">
        <v>17</v>
      </c>
      <c r="B186" s="1">
        <v>45986</v>
      </c>
      <c r="C186" s="2">
        <v>0.82291666666666663</v>
      </c>
      <c r="D186" t="s">
        <v>46</v>
      </c>
      <c r="E186" t="s">
        <v>18</v>
      </c>
      <c r="F186" s="3">
        <v>0.12638888888888888</v>
      </c>
      <c r="G186" t="s">
        <v>84</v>
      </c>
      <c r="H186" t="s">
        <v>35</v>
      </c>
      <c r="I186" t="s">
        <v>22</v>
      </c>
      <c r="J186" t="b">
        <v>0</v>
      </c>
      <c r="K186" t="s">
        <v>49</v>
      </c>
      <c r="L186">
        <v>11184</v>
      </c>
      <c r="M186" t="s">
        <v>24</v>
      </c>
      <c r="N186">
        <v>20261105000188</v>
      </c>
      <c r="O186" t="s">
        <v>25</v>
      </c>
      <c r="P186" t="s">
        <v>26</v>
      </c>
      <c r="Q186" t="s">
        <v>27</v>
      </c>
      <c r="R186">
        <v>90</v>
      </c>
      <c r="S186">
        <v>91</v>
      </c>
    </row>
    <row r="187" spans="1:19">
      <c r="A187" t="s">
        <v>17</v>
      </c>
      <c r="B187" s="1">
        <v>45986</v>
      </c>
      <c r="C187" s="2">
        <v>0.82291666666666663</v>
      </c>
      <c r="D187" t="s">
        <v>51</v>
      </c>
      <c r="E187" t="s">
        <v>52</v>
      </c>
      <c r="F187" s="3">
        <v>0.16805555555555557</v>
      </c>
      <c r="G187" t="s">
        <v>230</v>
      </c>
      <c r="H187" t="s">
        <v>21</v>
      </c>
      <c r="I187" t="s">
        <v>22</v>
      </c>
      <c r="J187" t="b">
        <v>0</v>
      </c>
      <c r="K187" t="s">
        <v>54</v>
      </c>
      <c r="L187">
        <v>7179</v>
      </c>
      <c r="M187" t="s">
        <v>24</v>
      </c>
      <c r="N187">
        <v>20261105000189</v>
      </c>
      <c r="O187" t="s">
        <v>25</v>
      </c>
      <c r="P187" t="s">
        <v>26</v>
      </c>
      <c r="Q187" t="s">
        <v>27</v>
      </c>
      <c r="R187">
        <v>90</v>
      </c>
      <c r="S187">
        <v>91</v>
      </c>
    </row>
    <row r="188" spans="1:19">
      <c r="A188" t="s">
        <v>17</v>
      </c>
      <c r="B188" s="1">
        <v>45986</v>
      </c>
      <c r="C188" s="2">
        <v>0.82291666666666663</v>
      </c>
      <c r="D188" t="s">
        <v>28</v>
      </c>
      <c r="E188" t="s">
        <v>39</v>
      </c>
      <c r="F188" s="3">
        <v>0.33333333333333331</v>
      </c>
      <c r="G188" t="s">
        <v>231</v>
      </c>
      <c r="H188" t="s">
        <v>21</v>
      </c>
      <c r="I188" t="s">
        <v>22</v>
      </c>
      <c r="J188" t="b">
        <v>0</v>
      </c>
      <c r="K188" t="s">
        <v>31</v>
      </c>
      <c r="L188">
        <v>3904</v>
      </c>
      <c r="M188" t="s">
        <v>24</v>
      </c>
      <c r="N188">
        <v>20261105000226</v>
      </c>
      <c r="O188" t="s">
        <v>25</v>
      </c>
      <c r="P188" t="s">
        <v>26</v>
      </c>
      <c r="Q188" t="s">
        <v>27</v>
      </c>
      <c r="R188">
        <v>90</v>
      </c>
      <c r="S188">
        <v>91</v>
      </c>
    </row>
    <row r="189" spans="1:19">
      <c r="A189" t="s">
        <v>128</v>
      </c>
      <c r="B189" s="1">
        <v>45987</v>
      </c>
      <c r="C189" s="2">
        <v>0.82291666666666663</v>
      </c>
      <c r="D189" t="s">
        <v>29</v>
      </c>
      <c r="E189" t="s">
        <v>43</v>
      </c>
      <c r="F189" s="3">
        <v>0.25277777777777777</v>
      </c>
      <c r="G189" t="s">
        <v>232</v>
      </c>
      <c r="H189" t="s">
        <v>21</v>
      </c>
      <c r="I189" t="s">
        <v>22</v>
      </c>
      <c r="J189" t="b">
        <v>0</v>
      </c>
      <c r="K189" t="s">
        <v>70</v>
      </c>
      <c r="L189">
        <v>9600</v>
      </c>
      <c r="M189" t="s">
        <v>24</v>
      </c>
      <c r="N189">
        <v>20261105000313</v>
      </c>
      <c r="O189" t="s">
        <v>25</v>
      </c>
      <c r="P189" t="s">
        <v>26</v>
      </c>
      <c r="Q189" t="s">
        <v>27</v>
      </c>
      <c r="R189">
        <v>90</v>
      </c>
      <c r="S189">
        <v>91</v>
      </c>
    </row>
    <row r="190" spans="1:19">
      <c r="A190" t="s">
        <v>55</v>
      </c>
      <c r="B190" s="1">
        <v>45988</v>
      </c>
      <c r="C190" s="2">
        <v>0.82291666666666663</v>
      </c>
      <c r="D190" t="s">
        <v>51</v>
      </c>
      <c r="E190" t="s">
        <v>38</v>
      </c>
      <c r="F190" s="3">
        <v>0.12569444444444444</v>
      </c>
      <c r="G190" t="s">
        <v>233</v>
      </c>
      <c r="H190" t="s">
        <v>21</v>
      </c>
      <c r="I190" t="s">
        <v>22</v>
      </c>
      <c r="J190" t="b">
        <v>0</v>
      </c>
      <c r="K190" t="s">
        <v>54</v>
      </c>
      <c r="L190">
        <v>7103</v>
      </c>
      <c r="M190" t="s">
        <v>24</v>
      </c>
      <c r="N190">
        <v>20261105000196</v>
      </c>
      <c r="O190" t="s">
        <v>25</v>
      </c>
      <c r="P190" t="s">
        <v>26</v>
      </c>
      <c r="Q190" t="s">
        <v>27</v>
      </c>
      <c r="R190">
        <v>90</v>
      </c>
      <c r="S190">
        <v>91</v>
      </c>
    </row>
    <row r="191" spans="1:19">
      <c r="A191" t="s">
        <v>59</v>
      </c>
      <c r="B191" s="1">
        <v>45989</v>
      </c>
      <c r="C191" s="2">
        <v>0.82291666666666663</v>
      </c>
      <c r="D191" t="s">
        <v>52</v>
      </c>
      <c r="E191" t="s">
        <v>46</v>
      </c>
      <c r="F191" s="3">
        <v>8.4027777777777785E-2</v>
      </c>
      <c r="G191" t="s">
        <v>20</v>
      </c>
      <c r="H191" t="s">
        <v>21</v>
      </c>
      <c r="I191" t="s">
        <v>22</v>
      </c>
      <c r="J191" t="b">
        <v>0</v>
      </c>
      <c r="K191" t="s">
        <v>64</v>
      </c>
      <c r="L191">
        <v>14756</v>
      </c>
      <c r="M191" t="s">
        <v>24</v>
      </c>
      <c r="N191">
        <v>20261105000190</v>
      </c>
      <c r="O191" t="s">
        <v>25</v>
      </c>
      <c r="P191" t="s">
        <v>26</v>
      </c>
      <c r="Q191" t="s">
        <v>27</v>
      </c>
      <c r="R191">
        <v>90</v>
      </c>
      <c r="S191">
        <v>91</v>
      </c>
    </row>
    <row r="192" spans="1:19">
      <c r="A192" t="s">
        <v>59</v>
      </c>
      <c r="B192" s="1">
        <v>45989</v>
      </c>
      <c r="C192" s="2">
        <v>0.82291666666666663</v>
      </c>
      <c r="D192" t="s">
        <v>47</v>
      </c>
      <c r="E192" t="s">
        <v>32</v>
      </c>
      <c r="F192" s="3">
        <v>8.5416666666666669E-2</v>
      </c>
      <c r="G192" t="s">
        <v>234</v>
      </c>
      <c r="H192" t="s">
        <v>21</v>
      </c>
      <c r="I192" t="s">
        <v>22</v>
      </c>
      <c r="J192" t="b">
        <v>0</v>
      </c>
      <c r="K192" t="s">
        <v>57</v>
      </c>
      <c r="L192">
        <v>6472</v>
      </c>
      <c r="M192" t="s">
        <v>58</v>
      </c>
      <c r="N192">
        <v>20261105000191</v>
      </c>
      <c r="O192" t="s">
        <v>25</v>
      </c>
      <c r="P192" t="s">
        <v>26</v>
      </c>
      <c r="Q192" t="s">
        <v>27</v>
      </c>
      <c r="R192">
        <v>90</v>
      </c>
      <c r="S192">
        <v>91</v>
      </c>
    </row>
    <row r="193" spans="1:19">
      <c r="A193" t="s">
        <v>59</v>
      </c>
      <c r="B193" s="1">
        <v>45989</v>
      </c>
      <c r="C193" s="2">
        <v>0.82291666666666663</v>
      </c>
      <c r="D193" t="s">
        <v>28</v>
      </c>
      <c r="E193" t="s">
        <v>42</v>
      </c>
      <c r="F193" s="3">
        <v>0.16875000000000001</v>
      </c>
      <c r="G193" t="s">
        <v>235</v>
      </c>
      <c r="H193" t="s">
        <v>63</v>
      </c>
      <c r="I193" t="s">
        <v>22</v>
      </c>
      <c r="J193" t="b">
        <v>0</v>
      </c>
      <c r="K193" t="s">
        <v>31</v>
      </c>
      <c r="L193">
        <v>5073</v>
      </c>
      <c r="M193" t="s">
        <v>24</v>
      </c>
      <c r="N193">
        <v>20261105000192</v>
      </c>
      <c r="O193" t="s">
        <v>25</v>
      </c>
      <c r="P193" t="s">
        <v>26</v>
      </c>
      <c r="Q193" t="s">
        <v>27</v>
      </c>
      <c r="R193">
        <v>90</v>
      </c>
      <c r="S193">
        <v>91</v>
      </c>
    </row>
    <row r="194" spans="1:19">
      <c r="A194" t="s">
        <v>59</v>
      </c>
      <c r="B194" s="1">
        <v>45989</v>
      </c>
      <c r="C194" s="2">
        <v>0.82291666666666663</v>
      </c>
      <c r="D194" t="s">
        <v>19</v>
      </c>
      <c r="E194" t="s">
        <v>39</v>
      </c>
      <c r="F194" s="3">
        <v>8.5416666666666669E-2</v>
      </c>
      <c r="G194" t="s">
        <v>236</v>
      </c>
      <c r="H194" t="s">
        <v>21</v>
      </c>
      <c r="I194" t="s">
        <v>22</v>
      </c>
      <c r="J194" t="b">
        <v>0</v>
      </c>
      <c r="K194" t="s">
        <v>66</v>
      </c>
      <c r="L194">
        <v>4107</v>
      </c>
      <c r="M194" t="s">
        <v>24</v>
      </c>
      <c r="N194">
        <v>20261105000193</v>
      </c>
      <c r="O194" t="s">
        <v>25</v>
      </c>
      <c r="P194" t="s">
        <v>26</v>
      </c>
      <c r="Q194" t="s">
        <v>27</v>
      </c>
      <c r="R194">
        <v>90</v>
      </c>
      <c r="S194">
        <v>91</v>
      </c>
    </row>
    <row r="195" spans="1:19">
      <c r="A195" t="s">
        <v>59</v>
      </c>
      <c r="B195" s="1">
        <v>45989</v>
      </c>
      <c r="C195" s="2">
        <v>0.82291666666666663</v>
      </c>
      <c r="D195" t="s">
        <v>33</v>
      </c>
      <c r="E195" t="s">
        <v>18</v>
      </c>
      <c r="F195" s="3">
        <v>0.20902777777777778</v>
      </c>
      <c r="G195" t="s">
        <v>237</v>
      </c>
      <c r="H195" t="s">
        <v>21</v>
      </c>
      <c r="I195" t="s">
        <v>22</v>
      </c>
      <c r="J195" t="b">
        <v>0</v>
      </c>
      <c r="K195" t="s">
        <v>68</v>
      </c>
      <c r="L195">
        <v>6733</v>
      </c>
      <c r="M195" t="s">
        <v>37</v>
      </c>
      <c r="N195">
        <v>20261105000194</v>
      </c>
      <c r="O195" t="s">
        <v>25</v>
      </c>
      <c r="P195" t="s">
        <v>26</v>
      </c>
      <c r="Q195" t="s">
        <v>27</v>
      </c>
      <c r="R195">
        <v>90</v>
      </c>
      <c r="S195">
        <v>91</v>
      </c>
    </row>
    <row r="196" spans="1:19">
      <c r="A196" t="s">
        <v>73</v>
      </c>
      <c r="B196" s="1">
        <v>45990</v>
      </c>
      <c r="C196" s="2">
        <v>0.82291666666666663</v>
      </c>
      <c r="D196" t="s">
        <v>39</v>
      </c>
      <c r="E196" t="s">
        <v>51</v>
      </c>
      <c r="F196" s="3">
        <v>0.12638888888888888</v>
      </c>
      <c r="G196" t="s">
        <v>238</v>
      </c>
      <c r="H196" t="s">
        <v>63</v>
      </c>
      <c r="I196" t="s">
        <v>22</v>
      </c>
      <c r="J196" t="b">
        <v>0</v>
      </c>
      <c r="K196" t="s">
        <v>61</v>
      </c>
      <c r="L196">
        <v>4708</v>
      </c>
      <c r="M196" t="s">
        <v>24</v>
      </c>
      <c r="N196">
        <v>20261105000197</v>
      </c>
      <c r="O196" t="s">
        <v>25</v>
      </c>
      <c r="P196" t="s">
        <v>26</v>
      </c>
      <c r="Q196" t="s">
        <v>27</v>
      </c>
      <c r="R196">
        <v>90</v>
      </c>
      <c r="S196">
        <v>91</v>
      </c>
    </row>
    <row r="197" spans="1:19">
      <c r="A197" t="s">
        <v>73</v>
      </c>
      <c r="B197" s="1">
        <v>45990</v>
      </c>
      <c r="C197" s="2">
        <v>0.82291666666666663</v>
      </c>
      <c r="D197" t="s">
        <v>18</v>
      </c>
      <c r="E197" t="s">
        <v>47</v>
      </c>
      <c r="F197" s="3">
        <v>0.21111111111111111</v>
      </c>
      <c r="G197" t="s">
        <v>239</v>
      </c>
      <c r="H197" t="s">
        <v>63</v>
      </c>
      <c r="I197" t="s">
        <v>22</v>
      </c>
      <c r="J197" t="b">
        <v>0</v>
      </c>
      <c r="K197" t="s">
        <v>23</v>
      </c>
      <c r="L197">
        <v>6429</v>
      </c>
      <c r="M197" t="s">
        <v>24</v>
      </c>
      <c r="N197">
        <v>20261105000198</v>
      </c>
      <c r="O197" t="s">
        <v>25</v>
      </c>
      <c r="P197" t="s">
        <v>26</v>
      </c>
      <c r="Q197" t="s">
        <v>27</v>
      </c>
      <c r="R197">
        <v>90</v>
      </c>
      <c r="S197">
        <v>91</v>
      </c>
    </row>
    <row r="198" spans="1:19">
      <c r="A198" t="s">
        <v>73</v>
      </c>
      <c r="B198" s="1">
        <v>45990</v>
      </c>
      <c r="C198" s="2">
        <v>0.82291666666666663</v>
      </c>
      <c r="D198" t="s">
        <v>32</v>
      </c>
      <c r="E198" t="s">
        <v>52</v>
      </c>
      <c r="F198" s="3">
        <v>8.4027777777777785E-2</v>
      </c>
      <c r="G198" t="s">
        <v>240</v>
      </c>
      <c r="H198" t="s">
        <v>21</v>
      </c>
      <c r="I198" t="s">
        <v>22</v>
      </c>
      <c r="J198" t="b">
        <v>0</v>
      </c>
      <c r="K198" t="s">
        <v>36</v>
      </c>
      <c r="L198">
        <v>9372</v>
      </c>
      <c r="M198" t="s">
        <v>58</v>
      </c>
      <c r="N198">
        <v>20261105000199</v>
      </c>
      <c r="O198" t="s">
        <v>25</v>
      </c>
      <c r="P198" t="s">
        <v>26</v>
      </c>
      <c r="Q198" t="s">
        <v>27</v>
      </c>
      <c r="R198">
        <v>90</v>
      </c>
      <c r="S198">
        <v>91</v>
      </c>
    </row>
    <row r="199" spans="1:19">
      <c r="A199" t="s">
        <v>73</v>
      </c>
      <c r="B199" s="1">
        <v>45990</v>
      </c>
      <c r="C199" s="2">
        <v>0.82291666666666663</v>
      </c>
      <c r="D199" t="s">
        <v>38</v>
      </c>
      <c r="E199" t="s">
        <v>28</v>
      </c>
      <c r="F199" s="3">
        <v>0.12638888888888888</v>
      </c>
      <c r="G199" t="s">
        <v>241</v>
      </c>
      <c r="H199" t="s">
        <v>35</v>
      </c>
      <c r="I199" t="s">
        <v>22</v>
      </c>
      <c r="J199" t="b">
        <v>0</v>
      </c>
      <c r="K199" t="s">
        <v>41</v>
      </c>
      <c r="L199">
        <v>6722</v>
      </c>
      <c r="M199" t="s">
        <v>24</v>
      </c>
      <c r="N199">
        <v>20261105000200</v>
      </c>
      <c r="O199" t="s">
        <v>25</v>
      </c>
      <c r="P199" t="s">
        <v>26</v>
      </c>
      <c r="Q199" t="s">
        <v>27</v>
      </c>
      <c r="R199">
        <v>90</v>
      </c>
      <c r="S199">
        <v>91</v>
      </c>
    </row>
    <row r="200" spans="1:19">
      <c r="A200" t="s">
        <v>73</v>
      </c>
      <c r="B200" s="1">
        <v>45990</v>
      </c>
      <c r="C200" s="2">
        <v>0.82291666666666663</v>
      </c>
      <c r="D200" t="s">
        <v>46</v>
      </c>
      <c r="E200" t="s">
        <v>43</v>
      </c>
      <c r="F200" s="3">
        <v>8.5416666666666669E-2</v>
      </c>
      <c r="G200" t="s">
        <v>242</v>
      </c>
      <c r="H200" t="s">
        <v>35</v>
      </c>
      <c r="I200" t="s">
        <v>22</v>
      </c>
      <c r="J200" t="b">
        <v>0</v>
      </c>
      <c r="K200" t="s">
        <v>49</v>
      </c>
      <c r="L200">
        <v>11559</v>
      </c>
      <c r="M200" t="s">
        <v>24</v>
      </c>
      <c r="N200">
        <v>20261105000203</v>
      </c>
      <c r="O200" t="s">
        <v>25</v>
      </c>
      <c r="P200" t="s">
        <v>26</v>
      </c>
      <c r="Q200" t="s">
        <v>27</v>
      </c>
      <c r="R200">
        <v>90</v>
      </c>
      <c r="S200">
        <v>91</v>
      </c>
    </row>
    <row r="201" spans="1:19">
      <c r="A201" t="s">
        <v>80</v>
      </c>
      <c r="B201" s="1">
        <v>45991</v>
      </c>
      <c r="C201" s="2">
        <v>0.65625</v>
      </c>
      <c r="D201" t="s">
        <v>43</v>
      </c>
      <c r="E201" t="s">
        <v>29</v>
      </c>
      <c r="F201" s="3">
        <v>0.12777777777777777</v>
      </c>
      <c r="G201" t="s">
        <v>243</v>
      </c>
      <c r="H201" t="s">
        <v>21</v>
      </c>
      <c r="I201" t="s">
        <v>22</v>
      </c>
      <c r="J201" t="b">
        <v>0</v>
      </c>
      <c r="K201" t="s">
        <v>72</v>
      </c>
      <c r="L201">
        <v>6000</v>
      </c>
      <c r="M201" t="s">
        <v>24</v>
      </c>
      <c r="N201">
        <v>20261105000195</v>
      </c>
      <c r="O201" t="s">
        <v>25</v>
      </c>
      <c r="P201" t="s">
        <v>26</v>
      </c>
      <c r="Q201" t="s">
        <v>27</v>
      </c>
      <c r="R201">
        <v>90</v>
      </c>
      <c r="S201">
        <v>91</v>
      </c>
    </row>
    <row r="202" spans="1:19">
      <c r="A202" t="s">
        <v>80</v>
      </c>
      <c r="B202" s="1">
        <v>45991</v>
      </c>
      <c r="C202" s="2">
        <v>0.65625</v>
      </c>
      <c r="D202" t="s">
        <v>42</v>
      </c>
      <c r="E202" t="s">
        <v>33</v>
      </c>
      <c r="F202" s="3">
        <v>0.12638888888888888</v>
      </c>
      <c r="G202" t="s">
        <v>238</v>
      </c>
      <c r="H202" t="s">
        <v>63</v>
      </c>
      <c r="I202" t="s">
        <v>22</v>
      </c>
      <c r="J202" t="b">
        <v>0</v>
      </c>
      <c r="K202" t="s">
        <v>45</v>
      </c>
      <c r="L202">
        <v>5798</v>
      </c>
      <c r="M202" t="s">
        <v>24</v>
      </c>
      <c r="N202">
        <v>20261105000202</v>
      </c>
      <c r="O202" t="s">
        <v>25</v>
      </c>
      <c r="P202" t="s">
        <v>26</v>
      </c>
      <c r="Q202" t="s">
        <v>27</v>
      </c>
      <c r="R202">
        <v>90</v>
      </c>
      <c r="S202">
        <v>91</v>
      </c>
    </row>
    <row r="203" spans="1:19">
      <c r="A203" t="s">
        <v>128</v>
      </c>
      <c r="B203" s="1">
        <v>45994</v>
      </c>
      <c r="C203" s="2">
        <v>0.82291666666666663</v>
      </c>
      <c r="D203" t="s">
        <v>52</v>
      </c>
      <c r="E203" t="s">
        <v>47</v>
      </c>
      <c r="F203" s="3">
        <v>0.25138888888888888</v>
      </c>
      <c r="G203" t="s">
        <v>244</v>
      </c>
      <c r="H203" t="s">
        <v>21</v>
      </c>
      <c r="I203" t="s">
        <v>22</v>
      </c>
      <c r="J203" t="b">
        <v>0</v>
      </c>
      <c r="K203" t="s">
        <v>64</v>
      </c>
      <c r="L203">
        <v>15027</v>
      </c>
      <c r="M203" t="s">
        <v>50</v>
      </c>
      <c r="N203">
        <v>20261105000030</v>
      </c>
      <c r="O203" t="s">
        <v>25</v>
      </c>
      <c r="P203" t="s">
        <v>26</v>
      </c>
      <c r="Q203" t="s">
        <v>27</v>
      </c>
      <c r="R203">
        <v>90</v>
      </c>
      <c r="S203">
        <v>91</v>
      </c>
    </row>
    <row r="204" spans="1:19">
      <c r="A204" t="s">
        <v>128</v>
      </c>
      <c r="B204" s="1">
        <v>45994</v>
      </c>
      <c r="C204" s="2">
        <v>0.82291666666666663</v>
      </c>
      <c r="D204" t="s">
        <v>32</v>
      </c>
      <c r="E204" t="s">
        <v>42</v>
      </c>
      <c r="F204" s="3">
        <v>8.611111111111111E-2</v>
      </c>
      <c r="G204" t="s">
        <v>245</v>
      </c>
      <c r="H204" t="s">
        <v>21</v>
      </c>
      <c r="I204" t="s">
        <v>22</v>
      </c>
      <c r="J204" t="b">
        <v>0</v>
      </c>
      <c r="K204" t="s">
        <v>36</v>
      </c>
      <c r="L204">
        <v>9372</v>
      </c>
      <c r="M204" t="s">
        <v>24</v>
      </c>
      <c r="N204">
        <v>20261105000242</v>
      </c>
      <c r="O204" t="s">
        <v>25</v>
      </c>
      <c r="P204" t="s">
        <v>26</v>
      </c>
      <c r="Q204" t="s">
        <v>27</v>
      </c>
      <c r="R204">
        <v>90</v>
      </c>
      <c r="S204">
        <v>91</v>
      </c>
    </row>
    <row r="205" spans="1:19">
      <c r="A205" t="s">
        <v>128</v>
      </c>
      <c r="B205" s="1">
        <v>45994</v>
      </c>
      <c r="C205" s="2">
        <v>0.82291666666666663</v>
      </c>
      <c r="D205" t="s">
        <v>28</v>
      </c>
      <c r="E205" t="s">
        <v>38</v>
      </c>
      <c r="F205" s="3">
        <v>0.25138888888888888</v>
      </c>
      <c r="G205" t="s">
        <v>246</v>
      </c>
      <c r="H205" t="s">
        <v>21</v>
      </c>
      <c r="I205" t="s">
        <v>22</v>
      </c>
      <c r="J205" t="b">
        <v>0</v>
      </c>
      <c r="K205" t="s">
        <v>31</v>
      </c>
      <c r="L205">
        <v>4554</v>
      </c>
      <c r="M205" t="s">
        <v>24</v>
      </c>
      <c r="N205">
        <v>20261105000289</v>
      </c>
      <c r="O205" t="s">
        <v>25</v>
      </c>
      <c r="P205" t="s">
        <v>26</v>
      </c>
      <c r="Q205" t="s">
        <v>27</v>
      </c>
      <c r="R205">
        <v>90</v>
      </c>
      <c r="S205">
        <v>91</v>
      </c>
    </row>
    <row r="206" spans="1:19">
      <c r="A206" t="s">
        <v>55</v>
      </c>
      <c r="B206" s="1">
        <v>45995</v>
      </c>
      <c r="C206" s="2">
        <v>0.82291666666666663</v>
      </c>
      <c r="D206" t="s">
        <v>18</v>
      </c>
      <c r="E206" t="s">
        <v>38</v>
      </c>
      <c r="F206" s="3">
        <v>0.20972222222222223</v>
      </c>
      <c r="G206" t="s">
        <v>247</v>
      </c>
      <c r="H206" t="s">
        <v>21</v>
      </c>
      <c r="I206" t="s">
        <v>22</v>
      </c>
      <c r="J206" t="b">
        <v>0</v>
      </c>
      <c r="K206" t="s">
        <v>23</v>
      </c>
      <c r="L206">
        <v>5924</v>
      </c>
      <c r="M206" t="s">
        <v>24</v>
      </c>
      <c r="N206">
        <v>20261105000205</v>
      </c>
      <c r="O206" t="s">
        <v>25</v>
      </c>
      <c r="P206" t="s">
        <v>26</v>
      </c>
      <c r="Q206" t="s">
        <v>27</v>
      </c>
      <c r="R206">
        <v>90</v>
      </c>
      <c r="S206">
        <v>91</v>
      </c>
    </row>
    <row r="207" spans="1:19">
      <c r="A207" t="s">
        <v>59</v>
      </c>
      <c r="B207" s="1">
        <v>45996</v>
      </c>
      <c r="C207" s="2">
        <v>0.82291666666666663</v>
      </c>
      <c r="D207" t="s">
        <v>39</v>
      </c>
      <c r="E207" t="s">
        <v>32</v>
      </c>
      <c r="F207" s="3">
        <v>4.5138888888888888E-2</v>
      </c>
      <c r="G207" t="s">
        <v>124</v>
      </c>
      <c r="H207" t="s">
        <v>21</v>
      </c>
      <c r="I207" t="s">
        <v>22</v>
      </c>
      <c r="J207" t="b">
        <v>0</v>
      </c>
      <c r="K207" t="s">
        <v>61</v>
      </c>
      <c r="L207">
        <v>5195</v>
      </c>
      <c r="M207" t="s">
        <v>50</v>
      </c>
      <c r="N207">
        <v>20261105000204</v>
      </c>
      <c r="O207" t="s">
        <v>25</v>
      </c>
      <c r="P207" t="s">
        <v>26</v>
      </c>
      <c r="Q207" t="s">
        <v>27</v>
      </c>
      <c r="R207">
        <v>90</v>
      </c>
      <c r="S207">
        <v>91</v>
      </c>
    </row>
    <row r="208" spans="1:19">
      <c r="A208" t="s">
        <v>59</v>
      </c>
      <c r="B208" s="1">
        <v>45996</v>
      </c>
      <c r="C208" s="2">
        <v>0.82291666666666663</v>
      </c>
      <c r="D208" t="s">
        <v>28</v>
      </c>
      <c r="E208" t="s">
        <v>46</v>
      </c>
      <c r="F208" s="3">
        <v>8.5416666666666669E-2</v>
      </c>
      <c r="G208" t="s">
        <v>248</v>
      </c>
      <c r="H208" t="s">
        <v>63</v>
      </c>
      <c r="I208" t="s">
        <v>22</v>
      </c>
      <c r="J208" t="b">
        <v>0</v>
      </c>
      <c r="K208" t="s">
        <v>31</v>
      </c>
      <c r="L208">
        <v>6547</v>
      </c>
      <c r="M208" t="s">
        <v>58</v>
      </c>
      <c r="N208">
        <v>20261105000206</v>
      </c>
      <c r="O208" t="s">
        <v>25</v>
      </c>
      <c r="P208" t="s">
        <v>26</v>
      </c>
      <c r="Q208" t="s">
        <v>27</v>
      </c>
      <c r="R208">
        <v>90</v>
      </c>
      <c r="S208">
        <v>91</v>
      </c>
    </row>
    <row r="209" spans="1:19">
      <c r="A209" t="s">
        <v>59</v>
      </c>
      <c r="B209" s="1">
        <v>45996</v>
      </c>
      <c r="C209" s="2">
        <v>0.82291666666666663</v>
      </c>
      <c r="D209" t="s">
        <v>33</v>
      </c>
      <c r="E209" t="s">
        <v>19</v>
      </c>
      <c r="F209" s="3">
        <v>0.1673611111111111</v>
      </c>
      <c r="G209" t="s">
        <v>249</v>
      </c>
      <c r="H209" t="s">
        <v>21</v>
      </c>
      <c r="I209" t="s">
        <v>22</v>
      </c>
      <c r="J209" t="b">
        <v>0</v>
      </c>
      <c r="K209" t="s">
        <v>68</v>
      </c>
      <c r="L209">
        <v>5125</v>
      </c>
      <c r="M209" t="s">
        <v>24</v>
      </c>
      <c r="N209">
        <v>20261105000207</v>
      </c>
      <c r="O209" t="s">
        <v>25</v>
      </c>
      <c r="P209" t="s">
        <v>26</v>
      </c>
      <c r="Q209" t="s">
        <v>27</v>
      </c>
      <c r="R209">
        <v>90</v>
      </c>
      <c r="S209">
        <v>91</v>
      </c>
    </row>
    <row r="210" spans="1:19">
      <c r="A210" t="s">
        <v>59</v>
      </c>
      <c r="B210" s="1">
        <v>45996</v>
      </c>
      <c r="C210" s="2">
        <v>0.82291666666666663</v>
      </c>
      <c r="D210" t="s">
        <v>42</v>
      </c>
      <c r="E210" t="s">
        <v>47</v>
      </c>
      <c r="F210" s="3">
        <v>8.5416666666666669E-2</v>
      </c>
      <c r="G210" t="s">
        <v>250</v>
      </c>
      <c r="H210" t="s">
        <v>63</v>
      </c>
      <c r="I210" t="s">
        <v>22</v>
      </c>
      <c r="J210" t="b">
        <v>0</v>
      </c>
      <c r="K210" t="s">
        <v>45</v>
      </c>
      <c r="L210">
        <v>4722</v>
      </c>
      <c r="M210" t="s">
        <v>24</v>
      </c>
      <c r="N210">
        <v>20261105000209</v>
      </c>
      <c r="O210" t="s">
        <v>25</v>
      </c>
      <c r="P210" t="s">
        <v>26</v>
      </c>
      <c r="Q210" t="s">
        <v>27</v>
      </c>
      <c r="R210">
        <v>90</v>
      </c>
      <c r="S210">
        <v>91</v>
      </c>
    </row>
    <row r="211" spans="1:19">
      <c r="A211" t="s">
        <v>59</v>
      </c>
      <c r="B211" s="1">
        <v>45996</v>
      </c>
      <c r="C211" s="2">
        <v>0.82291666666666663</v>
      </c>
      <c r="D211" t="s">
        <v>43</v>
      </c>
      <c r="E211" t="s">
        <v>51</v>
      </c>
      <c r="F211" s="3">
        <v>0.12569444444444444</v>
      </c>
      <c r="G211" t="s">
        <v>205</v>
      </c>
      <c r="H211" t="s">
        <v>21</v>
      </c>
      <c r="I211" t="s">
        <v>22</v>
      </c>
      <c r="J211" t="b">
        <v>0</v>
      </c>
      <c r="K211" t="s">
        <v>72</v>
      </c>
      <c r="L211">
        <v>5575</v>
      </c>
      <c r="M211" t="s">
        <v>24</v>
      </c>
      <c r="N211">
        <v>20261105000210</v>
      </c>
      <c r="O211" t="s">
        <v>25</v>
      </c>
      <c r="P211" t="s">
        <v>26</v>
      </c>
      <c r="Q211" t="s">
        <v>27</v>
      </c>
      <c r="R211">
        <v>90</v>
      </c>
      <c r="S211">
        <v>91</v>
      </c>
    </row>
    <row r="212" spans="1:19">
      <c r="A212" t="s">
        <v>73</v>
      </c>
      <c r="B212" s="1">
        <v>45997</v>
      </c>
      <c r="C212" s="2">
        <v>0.82291666666666663</v>
      </c>
      <c r="D212" t="s">
        <v>52</v>
      </c>
      <c r="E212" t="s">
        <v>43</v>
      </c>
      <c r="F212" s="3">
        <v>0.20902777777777778</v>
      </c>
      <c r="G212" t="s">
        <v>189</v>
      </c>
      <c r="H212" t="s">
        <v>21</v>
      </c>
      <c r="I212" t="s">
        <v>22</v>
      </c>
      <c r="J212" t="b">
        <v>0</v>
      </c>
      <c r="K212" t="s">
        <v>64</v>
      </c>
      <c r="L212">
        <v>16503</v>
      </c>
      <c r="M212" t="s">
        <v>24</v>
      </c>
      <c r="N212">
        <v>20261105000211</v>
      </c>
      <c r="O212" t="s">
        <v>25</v>
      </c>
      <c r="P212" t="s">
        <v>26</v>
      </c>
      <c r="Q212" t="s">
        <v>27</v>
      </c>
      <c r="R212">
        <v>90</v>
      </c>
      <c r="S212">
        <v>91</v>
      </c>
    </row>
    <row r="213" spans="1:19">
      <c r="A213" t="s">
        <v>73</v>
      </c>
      <c r="B213" s="1">
        <v>45997</v>
      </c>
      <c r="C213" s="2">
        <v>0.82291666666666663</v>
      </c>
      <c r="D213" t="s">
        <v>47</v>
      </c>
      <c r="E213" t="s">
        <v>29</v>
      </c>
      <c r="F213" s="3">
        <v>4.3055555555555555E-2</v>
      </c>
      <c r="G213" t="s">
        <v>251</v>
      </c>
      <c r="H213" t="s">
        <v>21</v>
      </c>
      <c r="I213" t="s">
        <v>22</v>
      </c>
      <c r="J213" t="b">
        <v>0</v>
      </c>
      <c r="K213" t="s">
        <v>57</v>
      </c>
      <c r="L213">
        <v>6240</v>
      </c>
      <c r="M213" t="s">
        <v>24</v>
      </c>
      <c r="N213">
        <v>20261105000212</v>
      </c>
      <c r="O213" t="s">
        <v>25</v>
      </c>
      <c r="P213" t="s">
        <v>26</v>
      </c>
      <c r="Q213" t="s">
        <v>27</v>
      </c>
      <c r="R213">
        <v>90</v>
      </c>
      <c r="S213">
        <v>91</v>
      </c>
    </row>
    <row r="214" spans="1:19">
      <c r="A214" t="s">
        <v>73</v>
      </c>
      <c r="B214" s="1">
        <v>45997</v>
      </c>
      <c r="C214" s="2">
        <v>0.82291666666666663</v>
      </c>
      <c r="D214" t="s">
        <v>38</v>
      </c>
      <c r="E214" t="s">
        <v>39</v>
      </c>
      <c r="F214" s="3">
        <v>0.25069444444444444</v>
      </c>
      <c r="G214" t="s">
        <v>252</v>
      </c>
      <c r="H214" t="s">
        <v>21</v>
      </c>
      <c r="I214" t="s">
        <v>22</v>
      </c>
      <c r="J214" t="b">
        <v>0</v>
      </c>
      <c r="K214" t="s">
        <v>41</v>
      </c>
      <c r="L214">
        <v>6337</v>
      </c>
      <c r="M214" t="s">
        <v>24</v>
      </c>
      <c r="N214">
        <v>20261105000214</v>
      </c>
      <c r="O214" t="s">
        <v>25</v>
      </c>
      <c r="P214" t="s">
        <v>26</v>
      </c>
      <c r="Q214" t="s">
        <v>27</v>
      </c>
      <c r="R214">
        <v>90</v>
      </c>
      <c r="S214">
        <v>91</v>
      </c>
    </row>
    <row r="215" spans="1:19">
      <c r="A215" t="s">
        <v>80</v>
      </c>
      <c r="B215" s="1">
        <v>45998</v>
      </c>
      <c r="C215" s="2">
        <v>0.58333333333333337</v>
      </c>
      <c r="D215" t="s">
        <v>32</v>
      </c>
      <c r="E215" t="s">
        <v>28</v>
      </c>
      <c r="F215" s="3">
        <v>0.16666666666666666</v>
      </c>
      <c r="G215" t="s">
        <v>253</v>
      </c>
      <c r="H215" t="s">
        <v>21</v>
      </c>
      <c r="I215" t="s">
        <v>22</v>
      </c>
      <c r="J215" t="b">
        <v>0</v>
      </c>
      <c r="K215" t="s">
        <v>36</v>
      </c>
      <c r="L215">
        <v>9372</v>
      </c>
      <c r="M215" t="s">
        <v>24</v>
      </c>
      <c r="N215">
        <v>20261105000213</v>
      </c>
      <c r="O215" t="s">
        <v>25</v>
      </c>
      <c r="P215" t="s">
        <v>26</v>
      </c>
      <c r="Q215" t="s">
        <v>27</v>
      </c>
      <c r="R215">
        <v>90</v>
      </c>
      <c r="S215">
        <v>91</v>
      </c>
    </row>
    <row r="216" spans="1:19">
      <c r="A216" t="s">
        <v>80</v>
      </c>
      <c r="B216" s="1">
        <v>45998</v>
      </c>
      <c r="C216" s="2">
        <v>0.58333333333333337</v>
      </c>
      <c r="D216" t="s">
        <v>19</v>
      </c>
      <c r="E216" t="s">
        <v>18</v>
      </c>
      <c r="F216" s="3">
        <v>8.4027777777777785E-2</v>
      </c>
      <c r="G216" t="s">
        <v>87</v>
      </c>
      <c r="H216" t="s">
        <v>21</v>
      </c>
      <c r="I216" t="s">
        <v>22</v>
      </c>
      <c r="J216" t="b">
        <v>0</v>
      </c>
      <c r="K216" t="s">
        <v>66</v>
      </c>
      <c r="L216">
        <v>6632</v>
      </c>
      <c r="M216" t="s">
        <v>24</v>
      </c>
      <c r="N216">
        <v>20261105000215</v>
      </c>
      <c r="O216" t="s">
        <v>25</v>
      </c>
      <c r="P216" t="s">
        <v>26</v>
      </c>
      <c r="Q216" t="s">
        <v>27</v>
      </c>
      <c r="R216">
        <v>90</v>
      </c>
      <c r="S216">
        <v>91</v>
      </c>
    </row>
    <row r="217" spans="1:19">
      <c r="A217" t="s">
        <v>80</v>
      </c>
      <c r="B217" s="1">
        <v>45998</v>
      </c>
      <c r="C217" s="2">
        <v>0.65625</v>
      </c>
      <c r="D217" t="s">
        <v>46</v>
      </c>
      <c r="E217" t="s">
        <v>42</v>
      </c>
      <c r="F217" s="3">
        <v>0.12569444444444444</v>
      </c>
      <c r="G217" t="s">
        <v>254</v>
      </c>
      <c r="H217" t="s">
        <v>21</v>
      </c>
      <c r="I217" t="s">
        <v>22</v>
      </c>
      <c r="J217" t="b">
        <v>0</v>
      </c>
      <c r="K217" t="s">
        <v>49</v>
      </c>
      <c r="L217">
        <v>12000</v>
      </c>
      <c r="M217" t="s">
        <v>24</v>
      </c>
      <c r="N217">
        <v>20261105000216</v>
      </c>
      <c r="O217" t="s">
        <v>25</v>
      </c>
      <c r="P217" t="s">
        <v>26</v>
      </c>
      <c r="Q217" t="s">
        <v>27</v>
      </c>
      <c r="R217">
        <v>90</v>
      </c>
      <c r="S217">
        <v>91</v>
      </c>
    </row>
    <row r="218" spans="1:19">
      <c r="A218" t="s">
        <v>80</v>
      </c>
      <c r="B218" s="1">
        <v>45998</v>
      </c>
      <c r="C218" s="2">
        <v>0.65625</v>
      </c>
      <c r="D218" t="s">
        <v>33</v>
      </c>
      <c r="E218" t="s">
        <v>52</v>
      </c>
      <c r="F218" s="3">
        <v>0.12569444444444444</v>
      </c>
      <c r="G218" t="s">
        <v>255</v>
      </c>
      <c r="H218" t="s">
        <v>21</v>
      </c>
      <c r="I218" t="s">
        <v>22</v>
      </c>
      <c r="J218" t="b">
        <v>0</v>
      </c>
      <c r="K218" t="s">
        <v>68</v>
      </c>
      <c r="L218">
        <v>5703</v>
      </c>
      <c r="M218" t="s">
        <v>24</v>
      </c>
      <c r="N218">
        <v>20261105000228</v>
      </c>
      <c r="O218" t="s">
        <v>25</v>
      </c>
      <c r="P218" t="s">
        <v>26</v>
      </c>
      <c r="Q218" t="s">
        <v>27</v>
      </c>
      <c r="R218">
        <v>90</v>
      </c>
      <c r="S218">
        <v>91</v>
      </c>
    </row>
    <row r="219" spans="1:19">
      <c r="A219" t="s">
        <v>128</v>
      </c>
      <c r="B219" s="1">
        <v>46008</v>
      </c>
      <c r="C219" s="2">
        <v>0.82291666666666663</v>
      </c>
      <c r="D219" t="s">
        <v>51</v>
      </c>
      <c r="E219" t="s">
        <v>19</v>
      </c>
      <c r="F219" s="3">
        <v>0.21111111111111111</v>
      </c>
      <c r="G219" t="s">
        <v>256</v>
      </c>
      <c r="H219" t="s">
        <v>21</v>
      </c>
      <c r="I219" t="s">
        <v>22</v>
      </c>
      <c r="J219" t="b">
        <v>0</v>
      </c>
      <c r="K219" t="s">
        <v>54</v>
      </c>
      <c r="L219">
        <v>7049</v>
      </c>
      <c r="M219" t="s">
        <v>24</v>
      </c>
      <c r="N219">
        <v>20261105000147</v>
      </c>
      <c r="O219" t="s">
        <v>25</v>
      </c>
      <c r="P219" t="s">
        <v>26</v>
      </c>
      <c r="Q219" t="s">
        <v>27</v>
      </c>
      <c r="R219">
        <v>90</v>
      </c>
      <c r="S219">
        <v>91</v>
      </c>
    </row>
    <row r="220" spans="1:19">
      <c r="A220" t="s">
        <v>128</v>
      </c>
      <c r="B220" s="1">
        <v>46008</v>
      </c>
      <c r="C220" s="2">
        <v>0.82291666666666663</v>
      </c>
      <c r="D220" t="s">
        <v>46</v>
      </c>
      <c r="E220" t="s">
        <v>33</v>
      </c>
      <c r="F220" s="3">
        <v>0.21041666666666667</v>
      </c>
      <c r="G220" t="s">
        <v>257</v>
      </c>
      <c r="H220" t="s">
        <v>21</v>
      </c>
      <c r="I220" t="s">
        <v>22</v>
      </c>
      <c r="J220" t="b">
        <v>0</v>
      </c>
      <c r="K220" t="s">
        <v>49</v>
      </c>
      <c r="L220">
        <v>11195</v>
      </c>
      <c r="M220" t="s">
        <v>24</v>
      </c>
      <c r="N220">
        <v>20261105000223</v>
      </c>
      <c r="O220" t="s">
        <v>25</v>
      </c>
      <c r="P220" t="s">
        <v>26</v>
      </c>
      <c r="Q220" t="s">
        <v>27</v>
      </c>
      <c r="R220">
        <v>90</v>
      </c>
      <c r="S220">
        <v>91</v>
      </c>
    </row>
    <row r="221" spans="1:19">
      <c r="A221" t="s">
        <v>128</v>
      </c>
      <c r="B221" s="1">
        <v>46008</v>
      </c>
      <c r="C221" s="2">
        <v>0.82291666666666663</v>
      </c>
      <c r="D221" t="s">
        <v>32</v>
      </c>
      <c r="E221" t="s">
        <v>39</v>
      </c>
      <c r="F221" s="3">
        <v>0.16805555555555557</v>
      </c>
      <c r="G221" t="s">
        <v>258</v>
      </c>
      <c r="H221" t="s">
        <v>21</v>
      </c>
      <c r="I221" t="s">
        <v>22</v>
      </c>
      <c r="J221" t="b">
        <v>0</v>
      </c>
      <c r="K221" t="s">
        <v>36</v>
      </c>
      <c r="L221">
        <v>9372</v>
      </c>
      <c r="M221" t="s">
        <v>24</v>
      </c>
      <c r="N221">
        <v>20261105000339</v>
      </c>
      <c r="O221" t="s">
        <v>25</v>
      </c>
      <c r="P221" t="s">
        <v>26</v>
      </c>
      <c r="Q221" t="s">
        <v>27</v>
      </c>
      <c r="R221">
        <v>90</v>
      </c>
      <c r="S221">
        <v>91</v>
      </c>
    </row>
    <row r="222" spans="1:19">
      <c r="A222" t="s">
        <v>59</v>
      </c>
      <c r="B222" s="1">
        <v>46010</v>
      </c>
      <c r="C222" s="2">
        <v>0.82291666666666663</v>
      </c>
      <c r="D222" t="s">
        <v>39</v>
      </c>
      <c r="E222" t="s">
        <v>29</v>
      </c>
      <c r="F222" s="3">
        <v>0.12777777777777777</v>
      </c>
      <c r="G222" t="s">
        <v>259</v>
      </c>
      <c r="H222" t="s">
        <v>35</v>
      </c>
      <c r="I222" t="s">
        <v>22</v>
      </c>
      <c r="J222" t="b">
        <v>0</v>
      </c>
      <c r="K222" t="s">
        <v>61</v>
      </c>
      <c r="L222">
        <v>4989</v>
      </c>
      <c r="M222" t="s">
        <v>24</v>
      </c>
      <c r="N222">
        <v>20261105000218</v>
      </c>
      <c r="O222" t="s">
        <v>25</v>
      </c>
      <c r="P222" t="s">
        <v>26</v>
      </c>
      <c r="Q222" t="s">
        <v>27</v>
      </c>
      <c r="R222">
        <v>90</v>
      </c>
      <c r="S222">
        <v>91</v>
      </c>
    </row>
    <row r="223" spans="1:19">
      <c r="A223" t="s">
        <v>59</v>
      </c>
      <c r="B223" s="1">
        <v>46010</v>
      </c>
      <c r="C223" s="2">
        <v>0.82291666666666663</v>
      </c>
      <c r="D223" t="s">
        <v>18</v>
      </c>
      <c r="E223" t="s">
        <v>32</v>
      </c>
      <c r="F223" s="3">
        <v>0.21249999999999999</v>
      </c>
      <c r="G223" t="s">
        <v>260</v>
      </c>
      <c r="H223" t="s">
        <v>35</v>
      </c>
      <c r="I223" t="s">
        <v>22</v>
      </c>
      <c r="J223" t="b">
        <v>0</v>
      </c>
      <c r="K223" t="s">
        <v>23</v>
      </c>
      <c r="L223">
        <v>6552</v>
      </c>
      <c r="M223" t="s">
        <v>24</v>
      </c>
      <c r="N223">
        <v>20261105000219</v>
      </c>
      <c r="O223" t="s">
        <v>25</v>
      </c>
      <c r="P223" t="s">
        <v>26</v>
      </c>
      <c r="Q223" t="s">
        <v>27</v>
      </c>
      <c r="R223">
        <v>90</v>
      </c>
      <c r="S223">
        <v>91</v>
      </c>
    </row>
    <row r="224" spans="1:19">
      <c r="A224" t="s">
        <v>59</v>
      </c>
      <c r="B224" s="1">
        <v>46010</v>
      </c>
      <c r="C224" s="2">
        <v>0.82291666666666663</v>
      </c>
      <c r="D224" t="s">
        <v>52</v>
      </c>
      <c r="E224" t="s">
        <v>28</v>
      </c>
      <c r="F224" s="3">
        <v>8.5416666666666669E-2</v>
      </c>
      <c r="G224" t="s">
        <v>261</v>
      </c>
      <c r="H224" t="s">
        <v>35</v>
      </c>
      <c r="I224" t="s">
        <v>22</v>
      </c>
      <c r="J224" t="b">
        <v>0</v>
      </c>
      <c r="K224" t="s">
        <v>64</v>
      </c>
      <c r="L224">
        <v>15689</v>
      </c>
      <c r="M224" t="s">
        <v>58</v>
      </c>
      <c r="N224">
        <v>20261105000220</v>
      </c>
      <c r="O224" t="s">
        <v>25</v>
      </c>
      <c r="P224" t="s">
        <v>26</v>
      </c>
      <c r="Q224" t="s">
        <v>27</v>
      </c>
      <c r="R224">
        <v>90</v>
      </c>
      <c r="S224">
        <v>91</v>
      </c>
    </row>
    <row r="225" spans="1:19">
      <c r="A225" t="s">
        <v>59</v>
      </c>
      <c r="B225" s="1">
        <v>46010</v>
      </c>
      <c r="C225" s="2">
        <v>0.82291666666666663</v>
      </c>
      <c r="D225" t="s">
        <v>38</v>
      </c>
      <c r="E225" t="s">
        <v>43</v>
      </c>
      <c r="F225" s="3">
        <v>4.4444444444444446E-2</v>
      </c>
      <c r="G225" t="s">
        <v>262</v>
      </c>
      <c r="H225" t="s">
        <v>21</v>
      </c>
      <c r="I225" t="s">
        <v>22</v>
      </c>
      <c r="J225" t="b">
        <v>0</v>
      </c>
      <c r="K225" t="s">
        <v>41</v>
      </c>
      <c r="L225">
        <v>6043</v>
      </c>
      <c r="M225" t="s">
        <v>24</v>
      </c>
      <c r="N225">
        <v>20261105000221</v>
      </c>
      <c r="O225" t="s">
        <v>25</v>
      </c>
      <c r="P225" t="s">
        <v>26</v>
      </c>
      <c r="Q225" t="s">
        <v>27</v>
      </c>
      <c r="R225">
        <v>90</v>
      </c>
      <c r="S225">
        <v>91</v>
      </c>
    </row>
    <row r="226" spans="1:19">
      <c r="A226" t="s">
        <v>59</v>
      </c>
      <c r="B226" s="1">
        <v>46010</v>
      </c>
      <c r="C226" s="2">
        <v>0.82291666666666663</v>
      </c>
      <c r="D226" t="s">
        <v>19</v>
      </c>
      <c r="E226" t="s">
        <v>42</v>
      </c>
      <c r="F226" s="3">
        <v>0.20972222222222223</v>
      </c>
      <c r="G226" t="s">
        <v>263</v>
      </c>
      <c r="H226" t="s">
        <v>21</v>
      </c>
      <c r="I226" t="s">
        <v>22</v>
      </c>
      <c r="J226" t="b">
        <v>0</v>
      </c>
      <c r="K226" t="s">
        <v>66</v>
      </c>
      <c r="L226">
        <v>5035</v>
      </c>
      <c r="M226" t="s">
        <v>24</v>
      </c>
      <c r="N226">
        <v>20261105000222</v>
      </c>
      <c r="O226" t="s">
        <v>25</v>
      </c>
      <c r="P226" t="s">
        <v>26</v>
      </c>
      <c r="Q226" t="s">
        <v>27</v>
      </c>
      <c r="R226">
        <v>90</v>
      </c>
      <c r="S226">
        <v>91</v>
      </c>
    </row>
    <row r="227" spans="1:19">
      <c r="A227" t="s">
        <v>59</v>
      </c>
      <c r="B227" s="1">
        <v>46010</v>
      </c>
      <c r="C227" s="2">
        <v>0.82291666666666663</v>
      </c>
      <c r="D227" t="s">
        <v>51</v>
      </c>
      <c r="E227" t="s">
        <v>47</v>
      </c>
      <c r="F227" s="3">
        <v>0.16666666666666666</v>
      </c>
      <c r="G227" t="s">
        <v>264</v>
      </c>
      <c r="H227" t="s">
        <v>21</v>
      </c>
      <c r="I227" t="s">
        <v>22</v>
      </c>
      <c r="J227" t="b">
        <v>0</v>
      </c>
      <c r="K227" t="s">
        <v>54</v>
      </c>
      <c r="L227">
        <v>7246</v>
      </c>
      <c r="M227" t="s">
        <v>24</v>
      </c>
      <c r="N227">
        <v>20261105000224</v>
      </c>
      <c r="O227" t="s">
        <v>25</v>
      </c>
      <c r="P227" t="s">
        <v>26</v>
      </c>
      <c r="Q227" t="s">
        <v>27</v>
      </c>
      <c r="R227">
        <v>90</v>
      </c>
      <c r="S227">
        <v>91</v>
      </c>
    </row>
    <row r="228" spans="1:19">
      <c r="A228" t="s">
        <v>73</v>
      </c>
      <c r="B228" s="1">
        <v>46011</v>
      </c>
      <c r="C228" s="2">
        <v>0.82291666666666663</v>
      </c>
      <c r="D228" t="s">
        <v>28</v>
      </c>
      <c r="E228" t="s">
        <v>33</v>
      </c>
      <c r="F228" s="3">
        <v>0.21111111111111111</v>
      </c>
      <c r="G228" t="s">
        <v>265</v>
      </c>
      <c r="H228" t="s">
        <v>21</v>
      </c>
      <c r="I228" t="s">
        <v>22</v>
      </c>
      <c r="J228" t="b">
        <v>0</v>
      </c>
      <c r="K228" t="s">
        <v>31</v>
      </c>
      <c r="L228">
        <v>6547</v>
      </c>
      <c r="M228" t="s">
        <v>24</v>
      </c>
      <c r="N228">
        <v>20261105000185</v>
      </c>
      <c r="O228" t="s">
        <v>25</v>
      </c>
      <c r="P228" t="s">
        <v>26</v>
      </c>
      <c r="Q228" t="s">
        <v>27</v>
      </c>
      <c r="R228">
        <v>90</v>
      </c>
      <c r="S228">
        <v>91</v>
      </c>
    </row>
    <row r="229" spans="1:19">
      <c r="A229" t="s">
        <v>73</v>
      </c>
      <c r="B229" s="1">
        <v>46011</v>
      </c>
      <c r="C229" s="2">
        <v>0.82291666666666663</v>
      </c>
      <c r="D229" t="s">
        <v>32</v>
      </c>
      <c r="E229" t="s">
        <v>46</v>
      </c>
      <c r="F229" s="3">
        <v>0.16805555555555557</v>
      </c>
      <c r="G229" t="s">
        <v>266</v>
      </c>
      <c r="H229" t="s">
        <v>21</v>
      </c>
      <c r="I229" t="s">
        <v>22</v>
      </c>
      <c r="J229" t="b">
        <v>0</v>
      </c>
      <c r="K229" t="s">
        <v>36</v>
      </c>
      <c r="L229">
        <v>9372</v>
      </c>
      <c r="M229" t="s">
        <v>58</v>
      </c>
      <c r="N229">
        <v>20261105000227</v>
      </c>
      <c r="O229" t="s">
        <v>25</v>
      </c>
      <c r="P229" t="s">
        <v>26</v>
      </c>
      <c r="Q229" t="s">
        <v>27</v>
      </c>
      <c r="R229">
        <v>90</v>
      </c>
      <c r="S229">
        <v>91</v>
      </c>
    </row>
    <row r="230" spans="1:19">
      <c r="A230" t="s">
        <v>73</v>
      </c>
      <c r="B230" s="1">
        <v>46011</v>
      </c>
      <c r="C230" s="2">
        <v>0.82291666666666663</v>
      </c>
      <c r="D230" t="s">
        <v>29</v>
      </c>
      <c r="E230" t="s">
        <v>18</v>
      </c>
      <c r="F230" s="3">
        <v>0.20902777777777778</v>
      </c>
      <c r="G230" t="s">
        <v>267</v>
      </c>
      <c r="H230" t="s">
        <v>21</v>
      </c>
      <c r="I230" t="s">
        <v>22</v>
      </c>
      <c r="J230" t="b">
        <v>0</v>
      </c>
      <c r="K230" t="s">
        <v>70</v>
      </c>
      <c r="L230">
        <v>9600</v>
      </c>
      <c r="M230" t="s">
        <v>24</v>
      </c>
      <c r="N230">
        <v>20261105000229</v>
      </c>
      <c r="O230" t="s">
        <v>25</v>
      </c>
      <c r="P230" t="s">
        <v>26</v>
      </c>
      <c r="Q230" t="s">
        <v>27</v>
      </c>
      <c r="R230">
        <v>90</v>
      </c>
      <c r="S230">
        <v>91</v>
      </c>
    </row>
    <row r="231" spans="1:19">
      <c r="A231" t="s">
        <v>73</v>
      </c>
      <c r="B231" s="1">
        <v>46011</v>
      </c>
      <c r="C231" s="2">
        <v>0.82291666666666663</v>
      </c>
      <c r="D231" t="s">
        <v>42</v>
      </c>
      <c r="E231" t="s">
        <v>51</v>
      </c>
      <c r="F231" s="3">
        <v>0.16805555555555557</v>
      </c>
      <c r="G231" t="s">
        <v>209</v>
      </c>
      <c r="H231" t="s">
        <v>21</v>
      </c>
      <c r="I231" t="s">
        <v>22</v>
      </c>
      <c r="J231" t="b">
        <v>0</v>
      </c>
      <c r="K231" t="s">
        <v>45</v>
      </c>
      <c r="L231">
        <v>5940</v>
      </c>
      <c r="M231" t="s">
        <v>24</v>
      </c>
      <c r="N231">
        <v>20261105000230</v>
      </c>
      <c r="O231" t="s">
        <v>25</v>
      </c>
      <c r="P231" t="s">
        <v>26</v>
      </c>
      <c r="Q231" t="s">
        <v>27</v>
      </c>
      <c r="R231">
        <v>90</v>
      </c>
      <c r="S231">
        <v>91</v>
      </c>
    </row>
    <row r="232" spans="1:19">
      <c r="A232" t="s">
        <v>73</v>
      </c>
      <c r="B232" s="1">
        <v>46011</v>
      </c>
      <c r="C232" s="2">
        <v>0.82291666666666663</v>
      </c>
      <c r="D232" t="s">
        <v>43</v>
      </c>
      <c r="E232" t="s">
        <v>19</v>
      </c>
      <c r="F232" s="3">
        <v>0.16875000000000001</v>
      </c>
      <c r="G232" t="s">
        <v>268</v>
      </c>
      <c r="H232" t="s">
        <v>35</v>
      </c>
      <c r="I232" t="s">
        <v>22</v>
      </c>
      <c r="J232" t="b">
        <v>0</v>
      </c>
      <c r="K232" t="s">
        <v>72</v>
      </c>
      <c r="L232">
        <v>6000</v>
      </c>
      <c r="M232" t="s">
        <v>24</v>
      </c>
      <c r="N232">
        <v>20261105000231</v>
      </c>
      <c r="O232" t="s">
        <v>25</v>
      </c>
      <c r="P232" t="s">
        <v>26</v>
      </c>
      <c r="Q232" t="s">
        <v>27</v>
      </c>
      <c r="R232">
        <v>90</v>
      </c>
      <c r="S232">
        <v>91</v>
      </c>
    </row>
    <row r="233" spans="1:19">
      <c r="A233" t="s">
        <v>73</v>
      </c>
      <c r="B233" s="1">
        <v>46011</v>
      </c>
      <c r="C233" s="2">
        <v>0.83333333333333337</v>
      </c>
      <c r="D233" t="s">
        <v>47</v>
      </c>
      <c r="E233" t="s">
        <v>38</v>
      </c>
      <c r="F233" s="3">
        <v>0.12638888888888888</v>
      </c>
      <c r="G233" t="s">
        <v>269</v>
      </c>
      <c r="H233" t="s">
        <v>21</v>
      </c>
      <c r="I233" t="s">
        <v>22</v>
      </c>
      <c r="J233" t="b">
        <v>0</v>
      </c>
      <c r="K233" t="s">
        <v>57</v>
      </c>
      <c r="L233">
        <v>6365</v>
      </c>
      <c r="M233" t="s">
        <v>50</v>
      </c>
      <c r="N233">
        <v>20261105000225</v>
      </c>
      <c r="O233" t="s">
        <v>25</v>
      </c>
      <c r="P233" t="s">
        <v>26</v>
      </c>
      <c r="Q233" t="s">
        <v>27</v>
      </c>
      <c r="R233">
        <v>90</v>
      </c>
      <c r="S233">
        <v>91</v>
      </c>
    </row>
    <row r="234" spans="1:19">
      <c r="A234" t="s">
        <v>270</v>
      </c>
      <c r="B234" s="1">
        <v>46013</v>
      </c>
      <c r="C234" s="2">
        <v>0.82291666666666663</v>
      </c>
      <c r="D234" t="s">
        <v>29</v>
      </c>
      <c r="E234" t="s">
        <v>52</v>
      </c>
      <c r="F234" s="3">
        <v>8.5416666666666669E-2</v>
      </c>
      <c r="G234" t="s">
        <v>271</v>
      </c>
      <c r="H234" t="s">
        <v>35</v>
      </c>
      <c r="I234" t="s">
        <v>22</v>
      </c>
      <c r="J234" t="b">
        <v>0</v>
      </c>
      <c r="K234" t="s">
        <v>70</v>
      </c>
      <c r="L234">
        <v>9600</v>
      </c>
      <c r="M234" t="s">
        <v>24</v>
      </c>
      <c r="N234">
        <v>20261105000208</v>
      </c>
      <c r="O234" t="s">
        <v>25</v>
      </c>
      <c r="P234" t="s">
        <v>26</v>
      </c>
      <c r="Q234" t="s">
        <v>27</v>
      </c>
      <c r="R234">
        <v>90</v>
      </c>
      <c r="S234">
        <v>91</v>
      </c>
    </row>
    <row r="235" spans="1:19">
      <c r="A235" t="s">
        <v>270</v>
      </c>
      <c r="B235" s="1">
        <v>46013</v>
      </c>
      <c r="C235" s="2">
        <v>0.82291666666666663</v>
      </c>
      <c r="D235" t="s">
        <v>33</v>
      </c>
      <c r="E235" t="s">
        <v>39</v>
      </c>
      <c r="F235" s="3">
        <v>0.25069444444444444</v>
      </c>
      <c r="G235" t="s">
        <v>272</v>
      </c>
      <c r="H235" t="s">
        <v>21</v>
      </c>
      <c r="I235" t="s">
        <v>22</v>
      </c>
      <c r="J235" t="b">
        <v>0</v>
      </c>
      <c r="K235" t="s">
        <v>68</v>
      </c>
      <c r="L235">
        <v>6292</v>
      </c>
      <c r="M235" t="s">
        <v>24</v>
      </c>
      <c r="N235">
        <v>20261105000270</v>
      </c>
      <c r="O235" t="s">
        <v>25</v>
      </c>
      <c r="P235" t="s">
        <v>26</v>
      </c>
      <c r="Q235" t="s">
        <v>27</v>
      </c>
      <c r="R235">
        <v>90</v>
      </c>
      <c r="S235">
        <v>91</v>
      </c>
    </row>
    <row r="236" spans="1:19">
      <c r="A236" t="s">
        <v>17</v>
      </c>
      <c r="B236" s="1">
        <v>46014</v>
      </c>
      <c r="C236" s="2">
        <v>0.82291666666666663</v>
      </c>
      <c r="D236" t="s">
        <v>18</v>
      </c>
      <c r="E236" t="s">
        <v>39</v>
      </c>
      <c r="F236" s="3">
        <v>8.6805555555555552E-2</v>
      </c>
      <c r="G236" t="s">
        <v>273</v>
      </c>
      <c r="H236" t="s">
        <v>21</v>
      </c>
      <c r="I236" t="s">
        <v>22</v>
      </c>
      <c r="J236" t="b">
        <v>0</v>
      </c>
      <c r="K236" t="s">
        <v>23</v>
      </c>
      <c r="L236">
        <v>6775</v>
      </c>
      <c r="M236" t="s">
        <v>24</v>
      </c>
      <c r="N236">
        <v>20261105000232</v>
      </c>
      <c r="O236" t="s">
        <v>25</v>
      </c>
      <c r="P236" t="s">
        <v>26</v>
      </c>
      <c r="Q236" t="s">
        <v>27</v>
      </c>
      <c r="R236">
        <v>90</v>
      </c>
      <c r="S236">
        <v>91</v>
      </c>
    </row>
    <row r="237" spans="1:19">
      <c r="A237" t="s">
        <v>17</v>
      </c>
      <c r="B237" s="1">
        <v>46014</v>
      </c>
      <c r="C237" s="2">
        <v>0.82291666666666663</v>
      </c>
      <c r="D237" t="s">
        <v>52</v>
      </c>
      <c r="E237" t="s">
        <v>42</v>
      </c>
      <c r="F237" s="3">
        <v>0.12638888888888888</v>
      </c>
      <c r="G237" t="s">
        <v>274</v>
      </c>
      <c r="H237" t="s">
        <v>63</v>
      </c>
      <c r="I237" t="s">
        <v>22</v>
      </c>
      <c r="J237" t="b">
        <v>0</v>
      </c>
      <c r="K237" t="s">
        <v>64</v>
      </c>
      <c r="L237">
        <v>15876</v>
      </c>
      <c r="M237" t="s">
        <v>58</v>
      </c>
      <c r="N237">
        <v>20261105000233</v>
      </c>
      <c r="O237" t="s">
        <v>25</v>
      </c>
      <c r="P237" t="s">
        <v>26</v>
      </c>
      <c r="Q237" t="s">
        <v>27</v>
      </c>
      <c r="R237">
        <v>90</v>
      </c>
      <c r="S237">
        <v>91</v>
      </c>
    </row>
    <row r="238" spans="1:19">
      <c r="A238" t="s">
        <v>17</v>
      </c>
      <c r="B238" s="1">
        <v>46014</v>
      </c>
      <c r="C238" s="2">
        <v>0.82291666666666663</v>
      </c>
      <c r="D238" t="s">
        <v>38</v>
      </c>
      <c r="E238" t="s">
        <v>29</v>
      </c>
      <c r="F238" s="3">
        <v>0.29375000000000001</v>
      </c>
      <c r="G238" t="s">
        <v>275</v>
      </c>
      <c r="H238" t="s">
        <v>21</v>
      </c>
      <c r="I238" t="s">
        <v>22</v>
      </c>
      <c r="J238" t="b">
        <v>0</v>
      </c>
      <c r="K238" t="s">
        <v>41</v>
      </c>
      <c r="L238">
        <v>7135</v>
      </c>
      <c r="M238" t="s">
        <v>24</v>
      </c>
      <c r="N238">
        <v>20261105000234</v>
      </c>
      <c r="O238" t="s">
        <v>25</v>
      </c>
      <c r="P238" t="s">
        <v>26</v>
      </c>
      <c r="Q238" t="s">
        <v>27</v>
      </c>
      <c r="R238">
        <v>90</v>
      </c>
      <c r="S238">
        <v>91</v>
      </c>
    </row>
    <row r="239" spans="1:19">
      <c r="A239" t="s">
        <v>17</v>
      </c>
      <c r="B239" s="1">
        <v>46014</v>
      </c>
      <c r="C239" s="2">
        <v>0.82291666666666663</v>
      </c>
      <c r="D239" t="s">
        <v>19</v>
      </c>
      <c r="E239" t="s">
        <v>32</v>
      </c>
      <c r="F239" s="3">
        <v>0.16875000000000001</v>
      </c>
      <c r="G239" t="s">
        <v>276</v>
      </c>
      <c r="H239" t="s">
        <v>21</v>
      </c>
      <c r="I239" t="s">
        <v>22</v>
      </c>
      <c r="J239" t="b">
        <v>0</v>
      </c>
      <c r="K239" t="s">
        <v>66</v>
      </c>
      <c r="L239">
        <v>6158</v>
      </c>
      <c r="M239" t="s">
        <v>24</v>
      </c>
      <c r="N239">
        <v>20261105000235</v>
      </c>
      <c r="O239" t="s">
        <v>25</v>
      </c>
      <c r="P239" t="s">
        <v>26</v>
      </c>
      <c r="Q239" t="s">
        <v>27</v>
      </c>
      <c r="R239">
        <v>90</v>
      </c>
      <c r="S239">
        <v>91</v>
      </c>
    </row>
    <row r="240" spans="1:19">
      <c r="A240" t="s">
        <v>17</v>
      </c>
      <c r="B240" s="1">
        <v>46014</v>
      </c>
      <c r="C240" s="2">
        <v>0.82291666666666663</v>
      </c>
      <c r="D240" t="s">
        <v>43</v>
      </c>
      <c r="E240" t="s">
        <v>33</v>
      </c>
      <c r="F240" s="3">
        <v>8.611111111111111E-2</v>
      </c>
      <c r="G240" t="s">
        <v>277</v>
      </c>
      <c r="H240" t="s">
        <v>21</v>
      </c>
      <c r="I240" t="s">
        <v>22</v>
      </c>
      <c r="J240" t="b">
        <v>0</v>
      </c>
      <c r="K240" t="s">
        <v>72</v>
      </c>
      <c r="L240">
        <v>6000</v>
      </c>
      <c r="M240" t="s">
        <v>37</v>
      </c>
      <c r="N240">
        <v>20261105000236</v>
      </c>
      <c r="O240" t="s">
        <v>25</v>
      </c>
      <c r="P240" t="s">
        <v>26</v>
      </c>
      <c r="Q240" t="s">
        <v>27</v>
      </c>
      <c r="R240">
        <v>90</v>
      </c>
      <c r="S240">
        <v>91</v>
      </c>
    </row>
    <row r="241" spans="1:19">
      <c r="A241" t="s">
        <v>17</v>
      </c>
      <c r="B241" s="1">
        <v>46014</v>
      </c>
      <c r="C241" s="2">
        <v>0.82291666666666663</v>
      </c>
      <c r="D241" t="s">
        <v>46</v>
      </c>
      <c r="E241" t="s">
        <v>47</v>
      </c>
      <c r="F241" s="3">
        <v>0.16805555555555557</v>
      </c>
      <c r="G241" t="s">
        <v>278</v>
      </c>
      <c r="H241" t="s">
        <v>21</v>
      </c>
      <c r="I241" t="s">
        <v>22</v>
      </c>
      <c r="J241" t="b">
        <v>0</v>
      </c>
      <c r="K241" t="s">
        <v>49</v>
      </c>
      <c r="L241">
        <v>12000</v>
      </c>
      <c r="M241" t="s">
        <v>24</v>
      </c>
      <c r="N241">
        <v>20261105000237</v>
      </c>
      <c r="O241" t="s">
        <v>25</v>
      </c>
      <c r="P241" t="s">
        <v>26</v>
      </c>
      <c r="Q241" t="s">
        <v>27</v>
      </c>
      <c r="R241">
        <v>90</v>
      </c>
      <c r="S241">
        <v>91</v>
      </c>
    </row>
    <row r="242" spans="1:19">
      <c r="A242" t="s">
        <v>17</v>
      </c>
      <c r="B242" s="1">
        <v>46014</v>
      </c>
      <c r="C242" s="2">
        <v>0.82291666666666663</v>
      </c>
      <c r="D242" t="s">
        <v>51</v>
      </c>
      <c r="E242" t="s">
        <v>28</v>
      </c>
      <c r="F242" s="3">
        <v>0.12638888888888888</v>
      </c>
      <c r="G242" t="s">
        <v>279</v>
      </c>
      <c r="H242" t="s">
        <v>63</v>
      </c>
      <c r="I242" t="s">
        <v>22</v>
      </c>
      <c r="J242" t="b">
        <v>0</v>
      </c>
      <c r="K242" t="s">
        <v>54</v>
      </c>
      <c r="L242">
        <v>7450</v>
      </c>
      <c r="M242" t="s">
        <v>24</v>
      </c>
      <c r="N242">
        <v>20261105000238</v>
      </c>
      <c r="O242" t="s">
        <v>25</v>
      </c>
      <c r="P242" t="s">
        <v>26</v>
      </c>
      <c r="Q242" t="s">
        <v>27</v>
      </c>
      <c r="R242">
        <v>90</v>
      </c>
      <c r="S242">
        <v>91</v>
      </c>
    </row>
    <row r="243" spans="1:19">
      <c r="A243" t="s">
        <v>59</v>
      </c>
      <c r="B243" s="1">
        <v>46024</v>
      </c>
      <c r="C243" s="2">
        <v>0.58333333333333337</v>
      </c>
      <c r="D243" t="s">
        <v>39</v>
      </c>
      <c r="E243" t="s">
        <v>52</v>
      </c>
      <c r="F243" s="3">
        <v>0.12777777777777777</v>
      </c>
      <c r="G243" t="s">
        <v>280</v>
      </c>
      <c r="H243" t="s">
        <v>21</v>
      </c>
      <c r="I243" t="s">
        <v>22</v>
      </c>
      <c r="J243" t="b">
        <v>0</v>
      </c>
      <c r="K243" t="s">
        <v>61</v>
      </c>
      <c r="L243">
        <v>5276</v>
      </c>
      <c r="M243" t="s">
        <v>24</v>
      </c>
      <c r="N243">
        <v>20261105000239</v>
      </c>
      <c r="O243" t="s">
        <v>25</v>
      </c>
      <c r="P243" t="s">
        <v>26</v>
      </c>
      <c r="Q243" t="s">
        <v>27</v>
      </c>
      <c r="R243">
        <v>90</v>
      </c>
      <c r="S243">
        <v>91</v>
      </c>
    </row>
    <row r="244" spans="1:19">
      <c r="A244" t="s">
        <v>59</v>
      </c>
      <c r="B244" s="1">
        <v>46024</v>
      </c>
      <c r="C244" s="2">
        <v>0.58472222222222225</v>
      </c>
      <c r="D244" t="s">
        <v>38</v>
      </c>
      <c r="E244" t="s">
        <v>46</v>
      </c>
      <c r="F244" s="3">
        <v>0.21041666666666667</v>
      </c>
      <c r="G244" t="s">
        <v>281</v>
      </c>
      <c r="H244" t="s">
        <v>21</v>
      </c>
      <c r="I244" t="s">
        <v>22</v>
      </c>
      <c r="J244" t="b">
        <v>0</v>
      </c>
      <c r="K244" t="s">
        <v>41</v>
      </c>
      <c r="L244">
        <v>6696</v>
      </c>
      <c r="M244" t="s">
        <v>24</v>
      </c>
      <c r="N244">
        <v>20261105000243</v>
      </c>
      <c r="O244" t="s">
        <v>25</v>
      </c>
      <c r="P244" t="s">
        <v>26</v>
      </c>
      <c r="Q244" t="s">
        <v>27</v>
      </c>
      <c r="R244">
        <v>90</v>
      </c>
      <c r="S244">
        <v>91</v>
      </c>
    </row>
    <row r="245" spans="1:19">
      <c r="A245" t="s">
        <v>59</v>
      </c>
      <c r="B245" s="1">
        <v>46024</v>
      </c>
      <c r="C245" s="2">
        <v>0.65625</v>
      </c>
      <c r="D245" t="s">
        <v>29</v>
      </c>
      <c r="E245" t="s">
        <v>51</v>
      </c>
      <c r="F245" s="3">
        <v>0.29166666666666669</v>
      </c>
      <c r="G245" t="s">
        <v>282</v>
      </c>
      <c r="H245" t="s">
        <v>21</v>
      </c>
      <c r="I245" t="s">
        <v>22</v>
      </c>
      <c r="J245" t="b">
        <v>0</v>
      </c>
      <c r="K245" t="s">
        <v>70</v>
      </c>
      <c r="L245">
        <v>9600</v>
      </c>
      <c r="M245" t="s">
        <v>24</v>
      </c>
      <c r="N245">
        <v>20261105000245</v>
      </c>
      <c r="O245" t="s">
        <v>25</v>
      </c>
      <c r="P245" t="s">
        <v>26</v>
      </c>
      <c r="Q245" t="s">
        <v>27</v>
      </c>
      <c r="R245">
        <v>90</v>
      </c>
      <c r="S245">
        <v>91</v>
      </c>
    </row>
    <row r="246" spans="1:19">
      <c r="A246" t="s">
        <v>59</v>
      </c>
      <c r="B246" s="1">
        <v>46024</v>
      </c>
      <c r="C246" s="2">
        <v>0.82291666666666663</v>
      </c>
      <c r="D246" t="s">
        <v>18</v>
      </c>
      <c r="E246" t="s">
        <v>43</v>
      </c>
      <c r="F246" s="3">
        <v>2.0833333333333333E-3</v>
      </c>
      <c r="G246" t="s">
        <v>105</v>
      </c>
      <c r="H246" t="s">
        <v>21</v>
      </c>
      <c r="I246" t="s">
        <v>22</v>
      </c>
      <c r="J246" t="b">
        <v>0</v>
      </c>
      <c r="K246" t="s">
        <v>23</v>
      </c>
      <c r="L246">
        <v>6447</v>
      </c>
      <c r="M246" t="s">
        <v>24</v>
      </c>
      <c r="N246">
        <v>20261105000240</v>
      </c>
      <c r="O246" t="s">
        <v>25</v>
      </c>
      <c r="P246" t="s">
        <v>26</v>
      </c>
      <c r="Q246" t="s">
        <v>27</v>
      </c>
      <c r="R246">
        <v>90</v>
      </c>
      <c r="S246">
        <v>91</v>
      </c>
    </row>
    <row r="247" spans="1:19">
      <c r="A247" t="s">
        <v>59</v>
      </c>
      <c r="B247" s="1">
        <v>46024</v>
      </c>
      <c r="C247" s="2">
        <v>0.82291666666666663</v>
      </c>
      <c r="D247" t="s">
        <v>47</v>
      </c>
      <c r="E247" t="s">
        <v>33</v>
      </c>
      <c r="F247" s="3">
        <v>0.12569444444444444</v>
      </c>
      <c r="G247" t="s">
        <v>118</v>
      </c>
      <c r="H247" t="s">
        <v>21</v>
      </c>
      <c r="I247" t="s">
        <v>22</v>
      </c>
      <c r="J247" t="b">
        <v>0</v>
      </c>
      <c r="K247" t="s">
        <v>57</v>
      </c>
      <c r="L247">
        <v>6556</v>
      </c>
      <c r="M247" t="s">
        <v>24</v>
      </c>
      <c r="N247">
        <v>20261105000241</v>
      </c>
      <c r="O247" t="s">
        <v>25</v>
      </c>
      <c r="P247" t="s">
        <v>26</v>
      </c>
      <c r="Q247" t="s">
        <v>27</v>
      </c>
      <c r="R247">
        <v>90</v>
      </c>
      <c r="S247">
        <v>91</v>
      </c>
    </row>
    <row r="248" spans="1:19">
      <c r="A248" t="s">
        <v>59</v>
      </c>
      <c r="B248" s="1">
        <v>46024</v>
      </c>
      <c r="C248" s="2">
        <v>0.82291666666666663</v>
      </c>
      <c r="D248" t="s">
        <v>19</v>
      </c>
      <c r="E248" t="s">
        <v>28</v>
      </c>
      <c r="F248" s="3">
        <v>0.1673611111111111</v>
      </c>
      <c r="G248" t="s">
        <v>283</v>
      </c>
      <c r="H248" t="s">
        <v>21</v>
      </c>
      <c r="I248" t="s">
        <v>22</v>
      </c>
      <c r="J248" t="b">
        <v>0</v>
      </c>
      <c r="K248" t="s">
        <v>66</v>
      </c>
      <c r="L248">
        <v>7161</v>
      </c>
      <c r="M248" t="s">
        <v>58</v>
      </c>
      <c r="N248">
        <v>20261105000244</v>
      </c>
      <c r="O248" t="s">
        <v>25</v>
      </c>
      <c r="P248" t="s">
        <v>26</v>
      </c>
      <c r="Q248" t="s">
        <v>27</v>
      </c>
      <c r="R248">
        <v>90</v>
      </c>
      <c r="S248">
        <v>91</v>
      </c>
    </row>
    <row r="249" spans="1:19">
      <c r="A249" t="s">
        <v>73</v>
      </c>
      <c r="B249" s="1">
        <v>46025</v>
      </c>
      <c r="C249" s="2">
        <v>0.82291666666666663</v>
      </c>
      <c r="D249" t="s">
        <v>52</v>
      </c>
      <c r="E249" t="s">
        <v>38</v>
      </c>
      <c r="F249" s="3">
        <v>2.0833333333333333E-3</v>
      </c>
      <c r="G249" t="s">
        <v>284</v>
      </c>
      <c r="H249" t="s">
        <v>21</v>
      </c>
      <c r="I249" t="s">
        <v>22</v>
      </c>
      <c r="J249" t="b">
        <v>0</v>
      </c>
      <c r="K249" t="s">
        <v>64</v>
      </c>
      <c r="L249">
        <v>17001</v>
      </c>
      <c r="M249" t="s">
        <v>24</v>
      </c>
      <c r="N249">
        <v>20261105000246</v>
      </c>
      <c r="O249" t="s">
        <v>25</v>
      </c>
      <c r="P249" t="s">
        <v>26</v>
      </c>
      <c r="Q249" t="s">
        <v>27</v>
      </c>
      <c r="R249">
        <v>90</v>
      </c>
      <c r="S249">
        <v>91</v>
      </c>
    </row>
    <row r="250" spans="1:19">
      <c r="A250" t="s">
        <v>73</v>
      </c>
      <c r="B250" s="1">
        <v>46025</v>
      </c>
      <c r="C250" s="2">
        <v>0.82291666666666663</v>
      </c>
      <c r="D250" t="s">
        <v>28</v>
      </c>
      <c r="E250" t="s">
        <v>18</v>
      </c>
      <c r="F250" s="3">
        <v>0.29375000000000001</v>
      </c>
      <c r="G250" t="s">
        <v>285</v>
      </c>
      <c r="H250" t="s">
        <v>21</v>
      </c>
      <c r="I250" t="s">
        <v>22</v>
      </c>
      <c r="J250" t="b">
        <v>0</v>
      </c>
      <c r="K250" t="s">
        <v>31</v>
      </c>
      <c r="L250">
        <v>6547</v>
      </c>
      <c r="M250" t="s">
        <v>222</v>
      </c>
      <c r="N250">
        <v>20261105000247</v>
      </c>
      <c r="O250" t="s">
        <v>25</v>
      </c>
      <c r="P250" t="s">
        <v>26</v>
      </c>
      <c r="Q250" t="s">
        <v>27</v>
      </c>
      <c r="R250">
        <v>90</v>
      </c>
      <c r="S250">
        <v>91</v>
      </c>
    </row>
    <row r="251" spans="1:19">
      <c r="A251" t="s">
        <v>73</v>
      </c>
      <c r="B251" s="1">
        <v>46025</v>
      </c>
      <c r="C251" s="2">
        <v>0.82291666666666663</v>
      </c>
      <c r="D251" t="s">
        <v>33</v>
      </c>
      <c r="E251" t="s">
        <v>32</v>
      </c>
      <c r="F251" s="3">
        <v>0.12638888888888888</v>
      </c>
      <c r="G251" t="s">
        <v>286</v>
      </c>
      <c r="H251" t="s">
        <v>21</v>
      </c>
      <c r="I251" t="s">
        <v>22</v>
      </c>
      <c r="J251" t="b">
        <v>0</v>
      </c>
      <c r="K251" t="s">
        <v>68</v>
      </c>
      <c r="L251">
        <v>6422</v>
      </c>
      <c r="M251" t="s">
        <v>24</v>
      </c>
      <c r="N251">
        <v>20261105000248</v>
      </c>
      <c r="O251" t="s">
        <v>25</v>
      </c>
      <c r="P251" t="s">
        <v>26</v>
      </c>
      <c r="Q251" t="s">
        <v>27</v>
      </c>
      <c r="R251">
        <v>90</v>
      </c>
      <c r="S251">
        <v>91</v>
      </c>
    </row>
    <row r="252" spans="1:19">
      <c r="A252" t="s">
        <v>73</v>
      </c>
      <c r="B252" s="1">
        <v>46025</v>
      </c>
      <c r="C252" s="2">
        <v>0.82291666666666663</v>
      </c>
      <c r="D252" t="s">
        <v>42</v>
      </c>
      <c r="E252" t="s">
        <v>39</v>
      </c>
      <c r="F252" s="3">
        <v>8.4027777777777785E-2</v>
      </c>
      <c r="G252" t="s">
        <v>287</v>
      </c>
      <c r="H252" t="s">
        <v>35</v>
      </c>
      <c r="I252" t="s">
        <v>22</v>
      </c>
      <c r="J252" t="b">
        <v>0</v>
      </c>
      <c r="K252" t="s">
        <v>45</v>
      </c>
      <c r="L252">
        <v>5026</v>
      </c>
      <c r="M252" t="s">
        <v>24</v>
      </c>
      <c r="N252">
        <v>20261105000249</v>
      </c>
      <c r="O252" t="s">
        <v>25</v>
      </c>
      <c r="P252" t="s">
        <v>26</v>
      </c>
      <c r="Q252" t="s">
        <v>27</v>
      </c>
      <c r="R252">
        <v>90</v>
      </c>
      <c r="S252">
        <v>91</v>
      </c>
    </row>
    <row r="253" spans="1:19">
      <c r="A253" t="s">
        <v>73</v>
      </c>
      <c r="B253" s="1">
        <v>46025</v>
      </c>
      <c r="C253" s="2">
        <v>0.82291666666666663</v>
      </c>
      <c r="D253" t="s">
        <v>43</v>
      </c>
      <c r="E253" t="s">
        <v>47</v>
      </c>
      <c r="F253" s="3">
        <v>0.16666666666666666</v>
      </c>
      <c r="G253" t="s">
        <v>288</v>
      </c>
      <c r="H253" t="s">
        <v>21</v>
      </c>
      <c r="I253" t="s">
        <v>22</v>
      </c>
      <c r="J253" t="b">
        <v>0</v>
      </c>
      <c r="K253" t="s">
        <v>72</v>
      </c>
      <c r="L253">
        <v>6000</v>
      </c>
      <c r="M253" t="s">
        <v>24</v>
      </c>
      <c r="N253">
        <v>20261105000250</v>
      </c>
      <c r="O253" t="s">
        <v>25</v>
      </c>
      <c r="P253" t="s">
        <v>26</v>
      </c>
      <c r="Q253" t="s">
        <v>27</v>
      </c>
      <c r="R253">
        <v>90</v>
      </c>
      <c r="S253">
        <v>91</v>
      </c>
    </row>
    <row r="254" spans="1:19">
      <c r="A254" t="s">
        <v>73</v>
      </c>
      <c r="B254" s="1">
        <v>46025</v>
      </c>
      <c r="C254" s="2">
        <v>0.82291666666666663</v>
      </c>
      <c r="D254" t="s">
        <v>46</v>
      </c>
      <c r="E254" t="s">
        <v>29</v>
      </c>
      <c r="F254" s="3">
        <v>0.12638888888888888</v>
      </c>
      <c r="G254" t="s">
        <v>289</v>
      </c>
      <c r="H254" t="s">
        <v>21</v>
      </c>
      <c r="I254" t="s">
        <v>22</v>
      </c>
      <c r="J254" t="b">
        <v>0</v>
      </c>
      <c r="K254" t="s">
        <v>49</v>
      </c>
      <c r="L254">
        <v>12000</v>
      </c>
      <c r="M254" t="s">
        <v>24</v>
      </c>
      <c r="N254">
        <v>20261105000251</v>
      </c>
      <c r="O254" t="s">
        <v>25</v>
      </c>
      <c r="P254" t="s">
        <v>26</v>
      </c>
      <c r="Q254" t="s">
        <v>27</v>
      </c>
      <c r="R254">
        <v>90</v>
      </c>
      <c r="S254">
        <v>91</v>
      </c>
    </row>
    <row r="255" spans="1:19">
      <c r="A255" t="s">
        <v>73</v>
      </c>
      <c r="B255" s="1">
        <v>46025</v>
      </c>
      <c r="C255" s="2">
        <v>0.82291666666666663</v>
      </c>
      <c r="D255" t="s">
        <v>51</v>
      </c>
      <c r="E255" t="s">
        <v>19</v>
      </c>
      <c r="F255" s="3">
        <v>4.3055555555555555E-2</v>
      </c>
      <c r="G255" t="s">
        <v>181</v>
      </c>
      <c r="H255" t="s">
        <v>35</v>
      </c>
      <c r="I255" t="s">
        <v>22</v>
      </c>
      <c r="J255" t="b">
        <v>0</v>
      </c>
      <c r="K255" t="s">
        <v>54</v>
      </c>
      <c r="L255">
        <v>7450</v>
      </c>
      <c r="M255" t="s">
        <v>24</v>
      </c>
      <c r="N255">
        <v>20261105000252</v>
      </c>
      <c r="O255" t="s">
        <v>25</v>
      </c>
      <c r="P255" t="s">
        <v>26</v>
      </c>
      <c r="Q255" t="s">
        <v>27</v>
      </c>
      <c r="R255">
        <v>90</v>
      </c>
      <c r="S255">
        <v>91</v>
      </c>
    </row>
    <row r="256" spans="1:19">
      <c r="A256" t="s">
        <v>17</v>
      </c>
      <c r="B256" s="1">
        <v>46028</v>
      </c>
      <c r="C256" s="2">
        <v>0.82291666666666663</v>
      </c>
      <c r="D256" t="s">
        <v>39</v>
      </c>
      <c r="E256" t="s">
        <v>46</v>
      </c>
      <c r="F256" s="3">
        <v>0.12847222222222221</v>
      </c>
      <c r="G256" t="s">
        <v>290</v>
      </c>
      <c r="H256" t="s">
        <v>21</v>
      </c>
      <c r="I256" t="s">
        <v>22</v>
      </c>
      <c r="J256" t="b">
        <v>0</v>
      </c>
      <c r="K256" t="s">
        <v>61</v>
      </c>
      <c r="L256">
        <v>3551</v>
      </c>
      <c r="M256" t="s">
        <v>24</v>
      </c>
      <c r="N256">
        <v>20261105000253</v>
      </c>
      <c r="O256" t="s">
        <v>25</v>
      </c>
      <c r="P256" t="s">
        <v>26</v>
      </c>
      <c r="Q256" t="s">
        <v>27</v>
      </c>
      <c r="R256">
        <v>90</v>
      </c>
      <c r="S256">
        <v>91</v>
      </c>
    </row>
    <row r="257" spans="1:19">
      <c r="A257" t="s">
        <v>17</v>
      </c>
      <c r="B257" s="1">
        <v>46028</v>
      </c>
      <c r="C257" s="2">
        <v>0.82291666666666663</v>
      </c>
      <c r="D257" t="s">
        <v>18</v>
      </c>
      <c r="E257" t="s">
        <v>51</v>
      </c>
      <c r="F257" s="3">
        <v>0.16666666666666666</v>
      </c>
      <c r="G257" t="s">
        <v>264</v>
      </c>
      <c r="H257" t="s">
        <v>21</v>
      </c>
      <c r="I257" t="s">
        <v>22</v>
      </c>
      <c r="J257" t="b">
        <v>0</v>
      </c>
      <c r="K257" t="s">
        <v>23</v>
      </c>
      <c r="L257">
        <v>6185</v>
      </c>
      <c r="M257" t="s">
        <v>24</v>
      </c>
      <c r="N257">
        <v>20261105000254</v>
      </c>
      <c r="O257" t="s">
        <v>25</v>
      </c>
      <c r="P257" t="s">
        <v>26</v>
      </c>
      <c r="Q257" t="s">
        <v>27</v>
      </c>
      <c r="R257">
        <v>90</v>
      </c>
      <c r="S257">
        <v>91</v>
      </c>
    </row>
    <row r="258" spans="1:19">
      <c r="A258" t="s">
        <v>17</v>
      </c>
      <c r="B258" s="1">
        <v>46028</v>
      </c>
      <c r="C258" s="2">
        <v>0.82291666666666663</v>
      </c>
      <c r="D258" t="s">
        <v>47</v>
      </c>
      <c r="E258" t="s">
        <v>28</v>
      </c>
      <c r="F258" s="3">
        <v>0.16875000000000001</v>
      </c>
      <c r="G258" t="s">
        <v>291</v>
      </c>
      <c r="H258" t="s">
        <v>63</v>
      </c>
      <c r="I258" t="s">
        <v>22</v>
      </c>
      <c r="J258" t="b">
        <v>0</v>
      </c>
      <c r="K258" t="s">
        <v>57</v>
      </c>
      <c r="L258">
        <v>5844</v>
      </c>
      <c r="M258" t="s">
        <v>24</v>
      </c>
      <c r="N258">
        <v>20261105000255</v>
      </c>
      <c r="O258" t="s">
        <v>25</v>
      </c>
      <c r="P258" t="s">
        <v>26</v>
      </c>
      <c r="Q258" t="s">
        <v>27</v>
      </c>
      <c r="R258">
        <v>90</v>
      </c>
      <c r="S258">
        <v>91</v>
      </c>
    </row>
    <row r="259" spans="1:19">
      <c r="A259" t="s">
        <v>17</v>
      </c>
      <c r="B259" s="1">
        <v>46028</v>
      </c>
      <c r="C259" s="2">
        <v>0.82291666666666663</v>
      </c>
      <c r="D259" t="s">
        <v>32</v>
      </c>
      <c r="E259" t="s">
        <v>43</v>
      </c>
      <c r="F259" s="3">
        <v>0.16875000000000001</v>
      </c>
      <c r="G259" t="s">
        <v>291</v>
      </c>
      <c r="H259" t="s">
        <v>63</v>
      </c>
      <c r="I259" t="s">
        <v>22</v>
      </c>
      <c r="J259" t="b">
        <v>0</v>
      </c>
      <c r="K259" t="s">
        <v>36</v>
      </c>
      <c r="L259">
        <v>9372</v>
      </c>
      <c r="M259" t="s">
        <v>24</v>
      </c>
      <c r="N259">
        <v>20261105000256</v>
      </c>
      <c r="O259" t="s">
        <v>25</v>
      </c>
      <c r="P259" t="s">
        <v>26</v>
      </c>
      <c r="Q259" t="s">
        <v>27</v>
      </c>
      <c r="R259">
        <v>90</v>
      </c>
      <c r="S259">
        <v>91</v>
      </c>
    </row>
    <row r="260" spans="1:19">
      <c r="A260" t="s">
        <v>17</v>
      </c>
      <c r="B260" s="1">
        <v>46028</v>
      </c>
      <c r="C260" s="2">
        <v>0.82291666666666663</v>
      </c>
      <c r="D260" t="s">
        <v>38</v>
      </c>
      <c r="E260" t="s">
        <v>42</v>
      </c>
      <c r="F260" s="3">
        <v>0.12569444444444444</v>
      </c>
      <c r="G260" t="s">
        <v>292</v>
      </c>
      <c r="H260" t="s">
        <v>21</v>
      </c>
      <c r="I260" t="s">
        <v>22</v>
      </c>
      <c r="J260" t="b">
        <v>0</v>
      </c>
      <c r="K260" t="s">
        <v>41</v>
      </c>
      <c r="L260">
        <v>5513</v>
      </c>
      <c r="M260" t="s">
        <v>24</v>
      </c>
      <c r="N260">
        <v>20261105000257</v>
      </c>
      <c r="O260" t="s">
        <v>25</v>
      </c>
      <c r="P260" t="s">
        <v>26</v>
      </c>
      <c r="Q260" t="s">
        <v>27</v>
      </c>
      <c r="R260">
        <v>90</v>
      </c>
      <c r="S260">
        <v>91</v>
      </c>
    </row>
    <row r="261" spans="1:19">
      <c r="A261" t="s">
        <v>17</v>
      </c>
      <c r="B261" s="1">
        <v>46028</v>
      </c>
      <c r="C261" s="2">
        <v>0.82291666666666663</v>
      </c>
      <c r="D261" t="s">
        <v>19</v>
      </c>
      <c r="E261" t="s">
        <v>52</v>
      </c>
      <c r="F261" s="3">
        <v>8.5416666666666669E-2</v>
      </c>
      <c r="G261" t="s">
        <v>293</v>
      </c>
      <c r="H261" t="s">
        <v>21</v>
      </c>
      <c r="I261" t="s">
        <v>22</v>
      </c>
      <c r="J261" t="b">
        <v>0</v>
      </c>
      <c r="K261" t="s">
        <v>66</v>
      </c>
      <c r="L261">
        <v>4218</v>
      </c>
      <c r="M261" t="s">
        <v>58</v>
      </c>
      <c r="N261">
        <v>20261105000258</v>
      </c>
      <c r="O261" t="s">
        <v>25</v>
      </c>
      <c r="P261" t="s">
        <v>26</v>
      </c>
      <c r="Q261" t="s">
        <v>27</v>
      </c>
      <c r="R261">
        <v>90</v>
      </c>
      <c r="S261">
        <v>91</v>
      </c>
    </row>
    <row r="262" spans="1:19">
      <c r="A262" t="s">
        <v>128</v>
      </c>
      <c r="B262" s="1">
        <v>46029</v>
      </c>
      <c r="C262" s="2">
        <v>0.82291666666666663</v>
      </c>
      <c r="D262" t="s">
        <v>29</v>
      </c>
      <c r="E262" t="s">
        <v>33</v>
      </c>
      <c r="F262" s="3">
        <v>8.6805555555555552E-2</v>
      </c>
      <c r="G262" t="s">
        <v>294</v>
      </c>
      <c r="H262" t="s">
        <v>21</v>
      </c>
      <c r="I262" t="s">
        <v>22</v>
      </c>
      <c r="J262" t="b">
        <v>0</v>
      </c>
      <c r="K262" t="s">
        <v>70</v>
      </c>
      <c r="L262">
        <v>9246</v>
      </c>
      <c r="M262" t="s">
        <v>24</v>
      </c>
      <c r="N262">
        <v>20261105000259</v>
      </c>
      <c r="O262" t="s">
        <v>25</v>
      </c>
      <c r="P262" t="s">
        <v>26</v>
      </c>
      <c r="Q262" t="s">
        <v>27</v>
      </c>
      <c r="R262">
        <v>90</v>
      </c>
      <c r="S262">
        <v>91</v>
      </c>
    </row>
    <row r="263" spans="1:19">
      <c r="A263" t="s">
        <v>55</v>
      </c>
      <c r="B263" s="1">
        <v>46030</v>
      </c>
      <c r="C263" s="2">
        <v>0.82291666666666663</v>
      </c>
      <c r="D263" t="s">
        <v>32</v>
      </c>
      <c r="E263" t="s">
        <v>51</v>
      </c>
      <c r="F263" s="3">
        <v>0.12638888888888888</v>
      </c>
      <c r="G263" t="s">
        <v>295</v>
      </c>
      <c r="H263" t="s">
        <v>63</v>
      </c>
      <c r="I263" t="s">
        <v>22</v>
      </c>
      <c r="J263" t="b">
        <v>0</v>
      </c>
      <c r="K263" t="s">
        <v>36</v>
      </c>
      <c r="L263">
        <v>9372</v>
      </c>
      <c r="M263" t="s">
        <v>24</v>
      </c>
      <c r="N263">
        <v>20261105000263</v>
      </c>
      <c r="O263" t="s">
        <v>25</v>
      </c>
      <c r="P263" t="s">
        <v>26</v>
      </c>
      <c r="Q263" t="s">
        <v>27</v>
      </c>
      <c r="R263">
        <v>90</v>
      </c>
      <c r="S263">
        <v>91</v>
      </c>
    </row>
    <row r="264" spans="1:19">
      <c r="A264" t="s">
        <v>55</v>
      </c>
      <c r="B264" s="1">
        <v>46030</v>
      </c>
      <c r="C264" s="2">
        <v>0.82291666666666663</v>
      </c>
      <c r="D264" t="s">
        <v>38</v>
      </c>
      <c r="E264" t="s">
        <v>33</v>
      </c>
      <c r="F264" s="3">
        <v>8.4027777777777785E-2</v>
      </c>
      <c r="G264" t="s">
        <v>296</v>
      </c>
      <c r="H264" t="s">
        <v>35</v>
      </c>
      <c r="I264" t="s">
        <v>22</v>
      </c>
      <c r="J264" t="b">
        <v>0</v>
      </c>
      <c r="K264" t="s">
        <v>41</v>
      </c>
      <c r="L264">
        <v>6023</v>
      </c>
      <c r="M264" t="s">
        <v>24</v>
      </c>
      <c r="N264">
        <v>20261105000264</v>
      </c>
      <c r="O264" t="s">
        <v>25</v>
      </c>
      <c r="P264" t="s">
        <v>26</v>
      </c>
      <c r="Q264" t="s">
        <v>27</v>
      </c>
      <c r="R264">
        <v>90</v>
      </c>
      <c r="S264">
        <v>91</v>
      </c>
    </row>
    <row r="265" spans="1:19">
      <c r="A265" t="s">
        <v>55</v>
      </c>
      <c r="B265" s="1">
        <v>46030</v>
      </c>
      <c r="C265" s="2">
        <v>0.83333333333333337</v>
      </c>
      <c r="D265" t="s">
        <v>42</v>
      </c>
      <c r="E265" t="s">
        <v>43</v>
      </c>
      <c r="F265" s="3">
        <v>8.4027777777777785E-2</v>
      </c>
      <c r="G265" t="s">
        <v>297</v>
      </c>
      <c r="H265" t="s">
        <v>21</v>
      </c>
      <c r="I265" t="s">
        <v>22</v>
      </c>
      <c r="J265" t="b">
        <v>0</v>
      </c>
      <c r="K265" t="s">
        <v>45</v>
      </c>
      <c r="L265">
        <v>4291</v>
      </c>
      <c r="M265" t="s">
        <v>58</v>
      </c>
      <c r="N265">
        <v>20261105000265</v>
      </c>
      <c r="O265" t="s">
        <v>25</v>
      </c>
      <c r="P265" t="s">
        <v>26</v>
      </c>
      <c r="Q265" t="s">
        <v>27</v>
      </c>
      <c r="R265">
        <v>90</v>
      </c>
      <c r="S265">
        <v>91</v>
      </c>
    </row>
    <row r="266" spans="1:19">
      <c r="A266" t="s">
        <v>59</v>
      </c>
      <c r="B266" s="1">
        <v>46031</v>
      </c>
      <c r="C266" s="2">
        <v>0.82291666666666663</v>
      </c>
      <c r="D266" t="s">
        <v>39</v>
      </c>
      <c r="E266" t="s">
        <v>47</v>
      </c>
      <c r="F266" s="3">
        <v>4.3055555555555555E-2</v>
      </c>
      <c r="G266" t="s">
        <v>67</v>
      </c>
      <c r="H266" t="s">
        <v>21</v>
      </c>
      <c r="I266" t="s">
        <v>22</v>
      </c>
      <c r="J266" t="b">
        <v>0</v>
      </c>
      <c r="K266" t="s">
        <v>61</v>
      </c>
      <c r="L266">
        <v>5021</v>
      </c>
      <c r="M266" t="s">
        <v>24</v>
      </c>
      <c r="N266">
        <v>20261105000260</v>
      </c>
      <c r="O266" t="s">
        <v>25</v>
      </c>
      <c r="P266" t="s">
        <v>26</v>
      </c>
      <c r="Q266" t="s">
        <v>27</v>
      </c>
      <c r="R266">
        <v>90</v>
      </c>
      <c r="S266">
        <v>91</v>
      </c>
    </row>
    <row r="267" spans="1:19">
      <c r="A267" t="s">
        <v>59</v>
      </c>
      <c r="B267" s="1">
        <v>46031</v>
      </c>
      <c r="C267" s="2">
        <v>0.82291666666666663</v>
      </c>
      <c r="D267" t="s">
        <v>52</v>
      </c>
      <c r="E267" t="s">
        <v>18</v>
      </c>
      <c r="F267" s="3">
        <v>6.9444444444444447E-4</v>
      </c>
      <c r="G267" t="s">
        <v>199</v>
      </c>
      <c r="H267" t="s">
        <v>63</v>
      </c>
      <c r="I267" t="s">
        <v>22</v>
      </c>
      <c r="J267" t="b">
        <v>0</v>
      </c>
      <c r="K267" t="s">
        <v>64</v>
      </c>
      <c r="L267">
        <v>15087</v>
      </c>
      <c r="M267" t="s">
        <v>24</v>
      </c>
      <c r="N267">
        <v>20261105000261</v>
      </c>
      <c r="O267" t="s">
        <v>25</v>
      </c>
      <c r="P267" t="s">
        <v>26</v>
      </c>
      <c r="Q267" t="s">
        <v>27</v>
      </c>
      <c r="R267">
        <v>90</v>
      </c>
      <c r="S267">
        <v>91</v>
      </c>
    </row>
    <row r="268" spans="1:19">
      <c r="A268" t="s">
        <v>59</v>
      </c>
      <c r="B268" s="1">
        <v>46031</v>
      </c>
      <c r="C268" s="2">
        <v>0.82291666666666663</v>
      </c>
      <c r="D268" t="s">
        <v>28</v>
      </c>
      <c r="E268" t="s">
        <v>29</v>
      </c>
      <c r="F268" s="3">
        <v>0.20902777777777778</v>
      </c>
      <c r="G268" t="s">
        <v>179</v>
      </c>
      <c r="H268" t="s">
        <v>21</v>
      </c>
      <c r="I268" t="s">
        <v>22</v>
      </c>
      <c r="J268" t="b">
        <v>0</v>
      </c>
      <c r="K268" t="s">
        <v>31</v>
      </c>
      <c r="L268">
        <v>6547</v>
      </c>
      <c r="M268" t="s">
        <v>24</v>
      </c>
      <c r="N268">
        <v>20261105000262</v>
      </c>
      <c r="O268" t="s">
        <v>25</v>
      </c>
      <c r="P268" t="s">
        <v>26</v>
      </c>
      <c r="Q268" t="s">
        <v>27</v>
      </c>
      <c r="R268">
        <v>90</v>
      </c>
      <c r="S268">
        <v>91</v>
      </c>
    </row>
    <row r="269" spans="1:19">
      <c r="A269" t="s">
        <v>73</v>
      </c>
      <c r="B269" s="1">
        <v>46032</v>
      </c>
      <c r="C269" s="2">
        <v>0.82291666666666663</v>
      </c>
      <c r="D269" t="s">
        <v>18</v>
      </c>
      <c r="E269" t="s">
        <v>42</v>
      </c>
      <c r="F269" s="3">
        <v>0.16875000000000001</v>
      </c>
      <c r="G269" t="s">
        <v>298</v>
      </c>
      <c r="H269" t="s">
        <v>35</v>
      </c>
      <c r="I269" t="s">
        <v>22</v>
      </c>
      <c r="J269" t="b">
        <v>0</v>
      </c>
      <c r="K269" t="s">
        <v>23</v>
      </c>
      <c r="L269">
        <v>6553</v>
      </c>
      <c r="M269" t="s">
        <v>24</v>
      </c>
      <c r="N269">
        <v>20261105000267</v>
      </c>
      <c r="O269" t="s">
        <v>25</v>
      </c>
      <c r="P269" t="s">
        <v>26</v>
      </c>
      <c r="Q269" t="s">
        <v>27</v>
      </c>
      <c r="R269">
        <v>90</v>
      </c>
      <c r="S269">
        <v>91</v>
      </c>
    </row>
    <row r="270" spans="1:19">
      <c r="A270" t="s">
        <v>73</v>
      </c>
      <c r="B270" s="1">
        <v>46032</v>
      </c>
      <c r="C270" s="2">
        <v>0.82291666666666663</v>
      </c>
      <c r="D270" t="s">
        <v>47</v>
      </c>
      <c r="E270" t="s">
        <v>52</v>
      </c>
      <c r="F270" s="3">
        <v>4.3055555555555555E-2</v>
      </c>
      <c r="G270" t="s">
        <v>299</v>
      </c>
      <c r="H270" t="s">
        <v>21</v>
      </c>
      <c r="I270" t="s">
        <v>22</v>
      </c>
      <c r="J270" t="b">
        <v>0</v>
      </c>
      <c r="K270" t="s">
        <v>57</v>
      </c>
      <c r="L270">
        <v>6556</v>
      </c>
      <c r="M270" t="s">
        <v>24</v>
      </c>
      <c r="N270">
        <v>20261105000268</v>
      </c>
      <c r="O270" t="s">
        <v>25</v>
      </c>
      <c r="P270" t="s">
        <v>26</v>
      </c>
      <c r="Q270" t="s">
        <v>27</v>
      </c>
      <c r="R270">
        <v>90</v>
      </c>
      <c r="S270">
        <v>91</v>
      </c>
    </row>
    <row r="271" spans="1:19">
      <c r="A271" t="s">
        <v>73</v>
      </c>
      <c r="B271" s="1">
        <v>46032</v>
      </c>
      <c r="C271" s="2">
        <v>0.82291666666666663</v>
      </c>
      <c r="D271" t="s">
        <v>19</v>
      </c>
      <c r="E271" t="s">
        <v>38</v>
      </c>
      <c r="F271" s="3">
        <v>4.3749999999999997E-2</v>
      </c>
      <c r="G271" t="s">
        <v>136</v>
      </c>
      <c r="H271" t="s">
        <v>21</v>
      </c>
      <c r="I271" t="s">
        <v>22</v>
      </c>
      <c r="J271" t="b">
        <v>0</v>
      </c>
      <c r="K271" t="s">
        <v>66</v>
      </c>
      <c r="L271">
        <v>4441</v>
      </c>
      <c r="M271" t="s">
        <v>24</v>
      </c>
      <c r="N271">
        <v>20261105000269</v>
      </c>
      <c r="O271" t="s">
        <v>25</v>
      </c>
      <c r="P271" t="s">
        <v>26</v>
      </c>
      <c r="Q271" t="s">
        <v>27</v>
      </c>
      <c r="R271">
        <v>90</v>
      </c>
      <c r="S271">
        <v>91</v>
      </c>
    </row>
    <row r="272" spans="1:19">
      <c r="A272" t="s">
        <v>73</v>
      </c>
      <c r="B272" s="1">
        <v>46032</v>
      </c>
      <c r="C272" s="2">
        <v>0.82291666666666663</v>
      </c>
      <c r="D272" t="s">
        <v>29</v>
      </c>
      <c r="E272" t="s">
        <v>32</v>
      </c>
      <c r="F272" s="3">
        <v>2.7777777777777779E-3</v>
      </c>
      <c r="G272" t="s">
        <v>300</v>
      </c>
      <c r="H272" t="s">
        <v>21</v>
      </c>
      <c r="I272" t="s">
        <v>22</v>
      </c>
      <c r="J272" t="b">
        <v>0</v>
      </c>
      <c r="K272" t="s">
        <v>70</v>
      </c>
      <c r="L272">
        <v>9600</v>
      </c>
      <c r="M272" t="s">
        <v>50</v>
      </c>
      <c r="N272">
        <v>20261105000271</v>
      </c>
      <c r="O272" t="s">
        <v>25</v>
      </c>
      <c r="P272" t="s">
        <v>26</v>
      </c>
      <c r="Q272" t="s">
        <v>27</v>
      </c>
      <c r="R272">
        <v>90</v>
      </c>
      <c r="S272">
        <v>91</v>
      </c>
    </row>
    <row r="273" spans="1:19">
      <c r="A273" t="s">
        <v>73</v>
      </c>
      <c r="B273" s="1">
        <v>46032</v>
      </c>
      <c r="C273" s="2">
        <v>0.82291666666666663</v>
      </c>
      <c r="D273" t="s">
        <v>43</v>
      </c>
      <c r="E273" t="s">
        <v>28</v>
      </c>
      <c r="F273" s="3">
        <v>0.12569444444444444</v>
      </c>
      <c r="G273" t="s">
        <v>255</v>
      </c>
      <c r="H273" t="s">
        <v>21</v>
      </c>
      <c r="I273" t="s">
        <v>22</v>
      </c>
      <c r="J273" t="b">
        <v>0</v>
      </c>
      <c r="K273" t="s">
        <v>72</v>
      </c>
      <c r="L273">
        <v>6000</v>
      </c>
      <c r="M273" t="s">
        <v>24</v>
      </c>
      <c r="N273">
        <v>20261105000272</v>
      </c>
      <c r="O273" t="s">
        <v>25</v>
      </c>
      <c r="P273" t="s">
        <v>26</v>
      </c>
      <c r="Q273" t="s">
        <v>27</v>
      </c>
      <c r="R273">
        <v>90</v>
      </c>
      <c r="S273">
        <v>91</v>
      </c>
    </row>
    <row r="274" spans="1:19">
      <c r="A274" t="s">
        <v>73</v>
      </c>
      <c r="B274" s="1">
        <v>46032</v>
      </c>
      <c r="C274" s="2">
        <v>0.82291666666666663</v>
      </c>
      <c r="D274" t="s">
        <v>51</v>
      </c>
      <c r="E274" t="s">
        <v>46</v>
      </c>
      <c r="F274" s="3">
        <v>8.5416666666666669E-2</v>
      </c>
      <c r="G274" t="s">
        <v>242</v>
      </c>
      <c r="H274" t="s">
        <v>35</v>
      </c>
      <c r="I274" t="s">
        <v>22</v>
      </c>
      <c r="J274" t="b">
        <v>0</v>
      </c>
      <c r="K274" t="s">
        <v>54</v>
      </c>
      <c r="L274">
        <v>7450</v>
      </c>
      <c r="M274" t="s">
        <v>58</v>
      </c>
      <c r="N274">
        <v>20261105000273</v>
      </c>
      <c r="O274" t="s">
        <v>25</v>
      </c>
      <c r="P274" t="s">
        <v>26</v>
      </c>
      <c r="Q274" t="s">
        <v>27</v>
      </c>
      <c r="R274">
        <v>90</v>
      </c>
      <c r="S274">
        <v>91</v>
      </c>
    </row>
    <row r="275" spans="1:19">
      <c r="A275" t="s">
        <v>80</v>
      </c>
      <c r="B275" s="1">
        <v>46033</v>
      </c>
      <c r="C275" s="2">
        <v>0.82291666666666663</v>
      </c>
      <c r="D275" t="s">
        <v>46</v>
      </c>
      <c r="E275" t="s">
        <v>19</v>
      </c>
      <c r="F275" s="3">
        <v>4.1666666666666664E-2</v>
      </c>
      <c r="G275" t="s">
        <v>301</v>
      </c>
      <c r="H275" t="s">
        <v>21</v>
      </c>
      <c r="I275" t="s">
        <v>22</v>
      </c>
      <c r="J275" t="b">
        <v>0</v>
      </c>
      <c r="K275" t="s">
        <v>49</v>
      </c>
      <c r="L275">
        <v>12000</v>
      </c>
      <c r="M275" t="s">
        <v>24</v>
      </c>
      <c r="N275">
        <v>20261105000266</v>
      </c>
      <c r="O275" t="s">
        <v>25</v>
      </c>
      <c r="P275" t="s">
        <v>26</v>
      </c>
      <c r="Q275" t="s">
        <v>27</v>
      </c>
      <c r="R275">
        <v>90</v>
      </c>
      <c r="S275">
        <v>91</v>
      </c>
    </row>
    <row r="276" spans="1:19">
      <c r="A276" t="s">
        <v>128</v>
      </c>
      <c r="B276" s="1">
        <v>46036</v>
      </c>
      <c r="C276" s="2">
        <v>0.82291666666666663</v>
      </c>
      <c r="D276" t="s">
        <v>39</v>
      </c>
      <c r="E276" t="s">
        <v>43</v>
      </c>
      <c r="F276" s="3">
        <v>8.4027777777777785E-2</v>
      </c>
      <c r="G276" t="s">
        <v>302</v>
      </c>
      <c r="H276" t="s">
        <v>63</v>
      </c>
      <c r="I276" t="s">
        <v>22</v>
      </c>
      <c r="J276" t="b">
        <v>0</v>
      </c>
      <c r="K276" t="s">
        <v>61</v>
      </c>
      <c r="L276">
        <v>3496</v>
      </c>
      <c r="M276" t="s">
        <v>24</v>
      </c>
      <c r="N276">
        <v>20261105000183</v>
      </c>
      <c r="O276" t="s">
        <v>25</v>
      </c>
      <c r="P276" t="s">
        <v>26</v>
      </c>
      <c r="Q276" t="s">
        <v>27</v>
      </c>
      <c r="R276">
        <v>90</v>
      </c>
      <c r="S276">
        <v>91</v>
      </c>
    </row>
    <row r="277" spans="1:19">
      <c r="A277" t="s">
        <v>128</v>
      </c>
      <c r="B277" s="1">
        <v>46036</v>
      </c>
      <c r="C277" s="2">
        <v>0.82291666666666663</v>
      </c>
      <c r="D277" t="s">
        <v>51</v>
      </c>
      <c r="E277" t="s">
        <v>33</v>
      </c>
      <c r="F277" s="3">
        <v>8.5416666666666669E-2</v>
      </c>
      <c r="G277" t="s">
        <v>293</v>
      </c>
      <c r="H277" t="s">
        <v>21</v>
      </c>
      <c r="I277" t="s">
        <v>22</v>
      </c>
      <c r="J277" t="b">
        <v>0</v>
      </c>
      <c r="K277" t="s">
        <v>54</v>
      </c>
      <c r="L277">
        <v>6930</v>
      </c>
      <c r="M277" t="s">
        <v>24</v>
      </c>
      <c r="N277">
        <v>20261105000217</v>
      </c>
      <c r="O277" t="s">
        <v>25</v>
      </c>
      <c r="P277" t="s">
        <v>26</v>
      </c>
      <c r="Q277" t="s">
        <v>27</v>
      </c>
      <c r="R277">
        <v>90</v>
      </c>
      <c r="S277">
        <v>91</v>
      </c>
    </row>
    <row r="278" spans="1:19">
      <c r="A278" t="s">
        <v>128</v>
      </c>
      <c r="B278" s="1">
        <v>46036</v>
      </c>
      <c r="C278" s="2">
        <v>0.82291666666666663</v>
      </c>
      <c r="D278" t="s">
        <v>29</v>
      </c>
      <c r="E278" t="s">
        <v>38</v>
      </c>
      <c r="F278" s="3">
        <v>2.0833333333333333E-3</v>
      </c>
      <c r="G278" t="s">
        <v>284</v>
      </c>
      <c r="H278" t="s">
        <v>21</v>
      </c>
      <c r="I278" t="s">
        <v>22</v>
      </c>
      <c r="J278" t="b">
        <v>0</v>
      </c>
      <c r="K278" t="s">
        <v>70</v>
      </c>
      <c r="L278">
        <v>9600</v>
      </c>
      <c r="M278" t="s">
        <v>24</v>
      </c>
      <c r="N278">
        <v>20261105000307</v>
      </c>
      <c r="O278" t="s">
        <v>25</v>
      </c>
      <c r="P278" t="s">
        <v>26</v>
      </c>
      <c r="Q278" t="s">
        <v>27</v>
      </c>
      <c r="R278">
        <v>90</v>
      </c>
      <c r="S278">
        <v>91</v>
      </c>
    </row>
    <row r="279" spans="1:19">
      <c r="A279" t="s">
        <v>55</v>
      </c>
      <c r="B279" s="1">
        <v>46037</v>
      </c>
      <c r="C279" s="2">
        <v>0.83333333333333337</v>
      </c>
      <c r="D279" t="s">
        <v>47</v>
      </c>
      <c r="E279" t="s">
        <v>18</v>
      </c>
      <c r="F279" s="3">
        <v>0.12638888888888888</v>
      </c>
      <c r="G279" t="s">
        <v>303</v>
      </c>
      <c r="H279" t="s">
        <v>35</v>
      </c>
      <c r="I279" t="s">
        <v>22</v>
      </c>
      <c r="J279" t="b">
        <v>0</v>
      </c>
      <c r="K279" t="s">
        <v>57</v>
      </c>
      <c r="L279">
        <v>5817</v>
      </c>
      <c r="M279" t="s">
        <v>58</v>
      </c>
      <c r="N279">
        <v>20261105000275</v>
      </c>
      <c r="O279" t="s">
        <v>25</v>
      </c>
      <c r="P279" t="s">
        <v>26</v>
      </c>
      <c r="Q279" t="s">
        <v>27</v>
      </c>
      <c r="R279">
        <v>90</v>
      </c>
      <c r="S279">
        <v>91</v>
      </c>
    </row>
    <row r="280" spans="1:19">
      <c r="A280" t="s">
        <v>59</v>
      </c>
      <c r="B280" s="1">
        <v>46038</v>
      </c>
      <c r="C280" s="2">
        <v>0.82291666666666663</v>
      </c>
      <c r="D280" t="s">
        <v>52</v>
      </c>
      <c r="E280" t="s">
        <v>33</v>
      </c>
      <c r="F280" s="3">
        <v>4.4444444444444446E-2</v>
      </c>
      <c r="G280" t="s">
        <v>154</v>
      </c>
      <c r="H280" t="s">
        <v>21</v>
      </c>
      <c r="I280" t="s">
        <v>22</v>
      </c>
      <c r="J280" t="b">
        <v>0</v>
      </c>
      <c r="K280" t="s">
        <v>64</v>
      </c>
      <c r="L280">
        <v>14854</v>
      </c>
      <c r="M280" t="s">
        <v>24</v>
      </c>
      <c r="N280">
        <v>20261105000274</v>
      </c>
      <c r="O280" t="s">
        <v>25</v>
      </c>
      <c r="P280" t="s">
        <v>26</v>
      </c>
      <c r="Q280" t="s">
        <v>27</v>
      </c>
      <c r="R280">
        <v>90</v>
      </c>
      <c r="S280">
        <v>91</v>
      </c>
    </row>
    <row r="281" spans="1:19">
      <c r="A281" t="s">
        <v>59</v>
      </c>
      <c r="B281" s="1">
        <v>46038</v>
      </c>
      <c r="C281" s="2">
        <v>0.82291666666666663</v>
      </c>
      <c r="D281" t="s">
        <v>19</v>
      </c>
      <c r="E281" t="s">
        <v>29</v>
      </c>
      <c r="F281" s="3">
        <v>8.5416666666666669E-2</v>
      </c>
      <c r="G281" t="s">
        <v>304</v>
      </c>
      <c r="H281" t="s">
        <v>35</v>
      </c>
      <c r="I281" t="s">
        <v>22</v>
      </c>
      <c r="J281" t="b">
        <v>0</v>
      </c>
      <c r="K281" t="s">
        <v>66</v>
      </c>
      <c r="L281">
        <v>4467</v>
      </c>
      <c r="M281" t="s">
        <v>24</v>
      </c>
      <c r="N281">
        <v>20261105000277</v>
      </c>
      <c r="O281" t="s">
        <v>25</v>
      </c>
      <c r="P281" t="s">
        <v>26</v>
      </c>
      <c r="Q281" t="s">
        <v>27</v>
      </c>
      <c r="R281">
        <v>90</v>
      </c>
      <c r="S281">
        <v>91</v>
      </c>
    </row>
    <row r="282" spans="1:19">
      <c r="A282" t="s">
        <v>59</v>
      </c>
      <c r="B282" s="1">
        <v>46038</v>
      </c>
      <c r="C282" s="2">
        <v>0.82291666666666663</v>
      </c>
      <c r="D282" t="s">
        <v>42</v>
      </c>
      <c r="E282" t="s">
        <v>46</v>
      </c>
      <c r="F282" s="3">
        <v>4.3749999999999997E-2</v>
      </c>
      <c r="G282" t="s">
        <v>166</v>
      </c>
      <c r="H282" t="s">
        <v>21</v>
      </c>
      <c r="I282" t="s">
        <v>22</v>
      </c>
      <c r="J282" t="b">
        <v>0</v>
      </c>
      <c r="K282" t="s">
        <v>45</v>
      </c>
      <c r="L282">
        <v>6100</v>
      </c>
      <c r="M282" t="s">
        <v>58</v>
      </c>
      <c r="N282">
        <v>20261105000278</v>
      </c>
      <c r="O282" t="s">
        <v>25</v>
      </c>
      <c r="P282" t="s">
        <v>26</v>
      </c>
      <c r="Q282" t="s">
        <v>27</v>
      </c>
      <c r="R282">
        <v>90</v>
      </c>
      <c r="S282">
        <v>91</v>
      </c>
    </row>
    <row r="283" spans="1:19">
      <c r="A283" t="s">
        <v>59</v>
      </c>
      <c r="B283" s="1">
        <v>46038</v>
      </c>
      <c r="C283" s="2">
        <v>0.82291666666666663</v>
      </c>
      <c r="D283" t="s">
        <v>43</v>
      </c>
      <c r="E283" t="s">
        <v>38</v>
      </c>
      <c r="F283" s="3">
        <v>0.125</v>
      </c>
      <c r="G283" t="s">
        <v>305</v>
      </c>
      <c r="H283" t="s">
        <v>21</v>
      </c>
      <c r="I283" t="s">
        <v>22</v>
      </c>
      <c r="J283" t="b">
        <v>0</v>
      </c>
      <c r="K283" t="s">
        <v>72</v>
      </c>
      <c r="L283">
        <v>5820</v>
      </c>
      <c r="M283" t="s">
        <v>24</v>
      </c>
      <c r="N283">
        <v>20261105000279</v>
      </c>
      <c r="O283" t="s">
        <v>25</v>
      </c>
      <c r="P283" t="s">
        <v>26</v>
      </c>
      <c r="Q283" t="s">
        <v>27</v>
      </c>
      <c r="R283">
        <v>90</v>
      </c>
      <c r="S283">
        <v>91</v>
      </c>
    </row>
    <row r="284" spans="1:19">
      <c r="A284" t="s">
        <v>59</v>
      </c>
      <c r="B284" s="1">
        <v>46038</v>
      </c>
      <c r="C284" s="2">
        <v>0.82291666666666663</v>
      </c>
      <c r="D284" t="s">
        <v>51</v>
      </c>
      <c r="E284" t="s">
        <v>39</v>
      </c>
      <c r="F284" s="3">
        <v>8.611111111111111E-2</v>
      </c>
      <c r="G284" t="s">
        <v>306</v>
      </c>
      <c r="H284" t="s">
        <v>21</v>
      </c>
      <c r="I284" t="s">
        <v>22</v>
      </c>
      <c r="J284" t="b">
        <v>0</v>
      </c>
      <c r="K284" t="s">
        <v>54</v>
      </c>
      <c r="L284">
        <v>7251</v>
      </c>
      <c r="M284" t="s">
        <v>24</v>
      </c>
      <c r="N284">
        <v>20261105000280</v>
      </c>
      <c r="O284" t="s">
        <v>25</v>
      </c>
      <c r="P284" t="s">
        <v>26</v>
      </c>
      <c r="Q284" t="s">
        <v>27</v>
      </c>
      <c r="R284">
        <v>90</v>
      </c>
      <c r="S284">
        <v>91</v>
      </c>
    </row>
    <row r="285" spans="1:19">
      <c r="A285" t="s">
        <v>73</v>
      </c>
      <c r="B285" s="1">
        <v>46039</v>
      </c>
      <c r="C285" s="2">
        <v>0.82291666666666663</v>
      </c>
      <c r="D285" t="s">
        <v>39</v>
      </c>
      <c r="E285" t="s">
        <v>28</v>
      </c>
      <c r="F285" s="3">
        <v>8.6805555555555552E-2</v>
      </c>
      <c r="G285" t="s">
        <v>294</v>
      </c>
      <c r="H285" t="s">
        <v>21</v>
      </c>
      <c r="I285" t="s">
        <v>22</v>
      </c>
      <c r="J285" t="b">
        <v>0</v>
      </c>
      <c r="K285" t="s">
        <v>61</v>
      </c>
      <c r="L285">
        <v>4391</v>
      </c>
      <c r="M285" t="s">
        <v>24</v>
      </c>
      <c r="N285">
        <v>20261105000281</v>
      </c>
      <c r="O285" t="s">
        <v>25</v>
      </c>
      <c r="P285" t="s">
        <v>26</v>
      </c>
      <c r="Q285" t="s">
        <v>27</v>
      </c>
      <c r="R285">
        <v>90</v>
      </c>
      <c r="S285">
        <v>91</v>
      </c>
    </row>
    <row r="286" spans="1:19">
      <c r="A286" t="s">
        <v>73</v>
      </c>
      <c r="B286" s="1">
        <v>46039</v>
      </c>
      <c r="C286" s="2">
        <v>0.82291666666666663</v>
      </c>
      <c r="D286" t="s">
        <v>18</v>
      </c>
      <c r="E286" t="s">
        <v>19</v>
      </c>
      <c r="F286" s="3">
        <v>8.6805555555555552E-2</v>
      </c>
      <c r="G286" t="s">
        <v>307</v>
      </c>
      <c r="H286" t="s">
        <v>21</v>
      </c>
      <c r="I286" t="s">
        <v>22</v>
      </c>
      <c r="J286" t="b">
        <v>0</v>
      </c>
      <c r="K286" t="s">
        <v>23</v>
      </c>
      <c r="L286">
        <v>6495</v>
      </c>
      <c r="M286" t="s">
        <v>24</v>
      </c>
      <c r="N286">
        <v>20261105000282</v>
      </c>
      <c r="O286" t="s">
        <v>25</v>
      </c>
      <c r="P286" t="s">
        <v>26</v>
      </c>
      <c r="Q286" t="s">
        <v>27</v>
      </c>
      <c r="R286">
        <v>90</v>
      </c>
      <c r="S286">
        <v>91</v>
      </c>
    </row>
    <row r="287" spans="1:19">
      <c r="A287" t="s">
        <v>73</v>
      </c>
      <c r="B287" s="1">
        <v>46039</v>
      </c>
      <c r="C287" s="2">
        <v>0.82291666666666663</v>
      </c>
      <c r="D287" t="s">
        <v>32</v>
      </c>
      <c r="E287" t="s">
        <v>47</v>
      </c>
      <c r="F287" s="3">
        <v>0.25069444444444444</v>
      </c>
      <c r="G287" t="s">
        <v>308</v>
      </c>
      <c r="H287" t="s">
        <v>21</v>
      </c>
      <c r="I287" t="s">
        <v>22</v>
      </c>
      <c r="J287" t="b">
        <v>0</v>
      </c>
      <c r="K287" t="s">
        <v>36</v>
      </c>
      <c r="L287">
        <v>9372</v>
      </c>
      <c r="M287" t="s">
        <v>24</v>
      </c>
      <c r="N287">
        <v>20261105000283</v>
      </c>
      <c r="O287" t="s">
        <v>25</v>
      </c>
      <c r="P287" t="s">
        <v>26</v>
      </c>
      <c r="Q287" t="s">
        <v>27</v>
      </c>
      <c r="R287">
        <v>90</v>
      </c>
      <c r="S287">
        <v>91</v>
      </c>
    </row>
    <row r="288" spans="1:19">
      <c r="A288" t="s">
        <v>73</v>
      </c>
      <c r="B288" s="1">
        <v>46039</v>
      </c>
      <c r="C288" s="2">
        <v>0.82291666666666663</v>
      </c>
      <c r="D288" t="s">
        <v>38</v>
      </c>
      <c r="E288" t="s">
        <v>51</v>
      </c>
      <c r="F288" s="3">
        <v>0.1673611111111111</v>
      </c>
      <c r="G288" t="s">
        <v>309</v>
      </c>
      <c r="H288" t="s">
        <v>21</v>
      </c>
      <c r="I288" t="s">
        <v>22</v>
      </c>
      <c r="J288" t="b">
        <v>0</v>
      </c>
      <c r="K288" t="s">
        <v>41</v>
      </c>
      <c r="L288">
        <v>7135</v>
      </c>
      <c r="M288" t="s">
        <v>24</v>
      </c>
      <c r="N288">
        <v>20261105000284</v>
      </c>
      <c r="O288" t="s">
        <v>25</v>
      </c>
      <c r="P288" t="s">
        <v>26</v>
      </c>
      <c r="Q288" t="s">
        <v>27</v>
      </c>
      <c r="R288">
        <v>90</v>
      </c>
      <c r="S288">
        <v>91</v>
      </c>
    </row>
    <row r="289" spans="1:19">
      <c r="A289" t="s">
        <v>73</v>
      </c>
      <c r="B289" s="1">
        <v>46039</v>
      </c>
      <c r="C289" s="2">
        <v>0.82291666666666663</v>
      </c>
      <c r="D289" t="s">
        <v>46</v>
      </c>
      <c r="E289" t="s">
        <v>52</v>
      </c>
      <c r="F289" s="3">
        <v>0.12777777777777777</v>
      </c>
      <c r="G289" t="s">
        <v>310</v>
      </c>
      <c r="H289" t="s">
        <v>35</v>
      </c>
      <c r="I289" t="s">
        <v>22</v>
      </c>
      <c r="J289" t="b">
        <v>0</v>
      </c>
      <c r="K289" t="s">
        <v>49</v>
      </c>
      <c r="L289">
        <v>12000</v>
      </c>
      <c r="M289" t="s">
        <v>24</v>
      </c>
      <c r="N289">
        <v>20261105000287</v>
      </c>
      <c r="O289" t="s">
        <v>25</v>
      </c>
      <c r="P289" t="s">
        <v>26</v>
      </c>
      <c r="Q289" t="s">
        <v>27</v>
      </c>
      <c r="R289">
        <v>90</v>
      </c>
      <c r="S289">
        <v>91</v>
      </c>
    </row>
    <row r="290" spans="1:19">
      <c r="A290" t="s">
        <v>80</v>
      </c>
      <c r="B290" s="1">
        <v>46040</v>
      </c>
      <c r="C290" s="2">
        <v>0.65625</v>
      </c>
      <c r="D290" t="s">
        <v>33</v>
      </c>
      <c r="E290" t="s">
        <v>43</v>
      </c>
      <c r="F290" s="3">
        <v>0.16875000000000001</v>
      </c>
      <c r="G290" t="s">
        <v>311</v>
      </c>
      <c r="H290" t="s">
        <v>63</v>
      </c>
      <c r="I290" t="s">
        <v>22</v>
      </c>
      <c r="J290" t="b">
        <v>0</v>
      </c>
      <c r="K290" t="s">
        <v>68</v>
      </c>
      <c r="L290">
        <v>6233</v>
      </c>
      <c r="M290" t="s">
        <v>24</v>
      </c>
      <c r="N290">
        <v>20261105000285</v>
      </c>
      <c r="O290" t="s">
        <v>25</v>
      </c>
      <c r="P290" t="s">
        <v>26</v>
      </c>
      <c r="Q290" t="s">
        <v>27</v>
      </c>
      <c r="R290">
        <v>90</v>
      </c>
      <c r="S290">
        <v>91</v>
      </c>
    </row>
    <row r="291" spans="1:19">
      <c r="A291" t="s">
        <v>80</v>
      </c>
      <c r="B291" s="1">
        <v>46040</v>
      </c>
      <c r="C291" s="2">
        <v>0.65625</v>
      </c>
      <c r="D291" t="s">
        <v>29</v>
      </c>
      <c r="E291" t="s">
        <v>42</v>
      </c>
      <c r="F291" s="3">
        <v>0.12777777777777777</v>
      </c>
      <c r="G291" t="s">
        <v>312</v>
      </c>
      <c r="H291" t="s">
        <v>35</v>
      </c>
      <c r="I291" t="s">
        <v>22</v>
      </c>
      <c r="J291" t="b">
        <v>0</v>
      </c>
      <c r="K291" t="s">
        <v>70</v>
      </c>
      <c r="L291">
        <v>9600</v>
      </c>
      <c r="M291" t="s">
        <v>24</v>
      </c>
      <c r="N291">
        <v>20261105000286</v>
      </c>
      <c r="O291" t="s">
        <v>25</v>
      </c>
      <c r="P291" t="s">
        <v>26</v>
      </c>
      <c r="Q291" t="s">
        <v>27</v>
      </c>
      <c r="R291">
        <v>90</v>
      </c>
      <c r="S291">
        <v>91</v>
      </c>
    </row>
    <row r="292" spans="1:19">
      <c r="A292" t="s">
        <v>59</v>
      </c>
      <c r="B292" s="1">
        <v>46045</v>
      </c>
      <c r="C292" s="2">
        <v>0.82291666666666663</v>
      </c>
      <c r="D292" t="s">
        <v>18</v>
      </c>
      <c r="E292" t="s">
        <v>46</v>
      </c>
      <c r="F292" s="3">
        <v>8.611111111111111E-2</v>
      </c>
      <c r="G292" t="s">
        <v>177</v>
      </c>
      <c r="H292" t="s">
        <v>21</v>
      </c>
      <c r="I292" t="s">
        <v>22</v>
      </c>
      <c r="J292" t="b">
        <v>0</v>
      </c>
      <c r="K292" t="s">
        <v>23</v>
      </c>
      <c r="L292">
        <v>6500</v>
      </c>
      <c r="M292" t="s">
        <v>58</v>
      </c>
      <c r="N292">
        <v>20261105000288</v>
      </c>
      <c r="O292" t="s">
        <v>25</v>
      </c>
      <c r="P292" t="s">
        <v>26</v>
      </c>
      <c r="Q292" t="s">
        <v>27</v>
      </c>
      <c r="R292">
        <v>90</v>
      </c>
      <c r="S292">
        <v>91</v>
      </c>
    </row>
    <row r="293" spans="1:19">
      <c r="A293" t="s">
        <v>59</v>
      </c>
      <c r="B293" s="1">
        <v>46045</v>
      </c>
      <c r="C293" s="2">
        <v>0.82291666666666663</v>
      </c>
      <c r="D293" t="s">
        <v>32</v>
      </c>
      <c r="E293" t="s">
        <v>33</v>
      </c>
      <c r="F293" s="3">
        <v>0.12638888888888888</v>
      </c>
      <c r="G293" t="s">
        <v>34</v>
      </c>
      <c r="H293" t="s">
        <v>63</v>
      </c>
      <c r="I293" t="s">
        <v>22</v>
      </c>
      <c r="J293" t="b">
        <v>0</v>
      </c>
      <c r="K293" t="s">
        <v>36</v>
      </c>
      <c r="L293">
        <v>9372</v>
      </c>
      <c r="M293" t="s">
        <v>24</v>
      </c>
      <c r="N293">
        <v>20261105000290</v>
      </c>
      <c r="O293" t="s">
        <v>25</v>
      </c>
      <c r="P293" t="s">
        <v>26</v>
      </c>
      <c r="Q293" t="s">
        <v>27</v>
      </c>
      <c r="R293">
        <v>90</v>
      </c>
      <c r="S293">
        <v>91</v>
      </c>
    </row>
    <row r="294" spans="1:19">
      <c r="A294" t="s">
        <v>59</v>
      </c>
      <c r="B294" s="1">
        <v>46045</v>
      </c>
      <c r="C294" s="2">
        <v>0.82291666666666663</v>
      </c>
      <c r="D294" t="s">
        <v>19</v>
      </c>
      <c r="E294" t="s">
        <v>51</v>
      </c>
      <c r="F294" s="3">
        <v>4.3055555555555555E-2</v>
      </c>
      <c r="G294" t="s">
        <v>313</v>
      </c>
      <c r="H294" t="s">
        <v>21</v>
      </c>
      <c r="I294" t="s">
        <v>22</v>
      </c>
      <c r="J294" t="b">
        <v>0</v>
      </c>
      <c r="K294" t="s">
        <v>66</v>
      </c>
      <c r="L294">
        <v>5031</v>
      </c>
      <c r="M294" t="s">
        <v>24</v>
      </c>
      <c r="N294">
        <v>20261105000291</v>
      </c>
      <c r="O294" t="s">
        <v>25</v>
      </c>
      <c r="P294" t="s">
        <v>26</v>
      </c>
      <c r="Q294" t="s">
        <v>27</v>
      </c>
      <c r="R294">
        <v>90</v>
      </c>
      <c r="S294">
        <v>91</v>
      </c>
    </row>
    <row r="295" spans="1:19">
      <c r="A295" t="s">
        <v>59</v>
      </c>
      <c r="B295" s="1">
        <v>46045</v>
      </c>
      <c r="C295" s="2">
        <v>0.82291666666666663</v>
      </c>
      <c r="D295" t="s">
        <v>29</v>
      </c>
      <c r="E295" t="s">
        <v>47</v>
      </c>
      <c r="F295" s="3">
        <v>8.4027777777777785E-2</v>
      </c>
      <c r="G295" t="s">
        <v>302</v>
      </c>
      <c r="H295" t="s">
        <v>35</v>
      </c>
      <c r="I295" t="s">
        <v>22</v>
      </c>
      <c r="J295" t="b">
        <v>0</v>
      </c>
      <c r="K295" t="s">
        <v>70</v>
      </c>
      <c r="L295">
        <v>9600</v>
      </c>
      <c r="M295" t="s">
        <v>24</v>
      </c>
      <c r="N295">
        <v>20261105000292</v>
      </c>
      <c r="O295" t="s">
        <v>25</v>
      </c>
      <c r="P295" t="s">
        <v>26</v>
      </c>
      <c r="Q295" t="s">
        <v>27</v>
      </c>
      <c r="R295">
        <v>90</v>
      </c>
      <c r="S295">
        <v>91</v>
      </c>
    </row>
    <row r="296" spans="1:19">
      <c r="A296" t="s">
        <v>59</v>
      </c>
      <c r="B296" s="1">
        <v>46045</v>
      </c>
      <c r="C296" s="2">
        <v>0.82291666666666663</v>
      </c>
      <c r="D296" t="s">
        <v>42</v>
      </c>
      <c r="E296" t="s">
        <v>52</v>
      </c>
      <c r="F296" s="3">
        <v>1.3888888888888889E-3</v>
      </c>
      <c r="G296" t="s">
        <v>314</v>
      </c>
      <c r="H296" t="s">
        <v>21</v>
      </c>
      <c r="I296" t="s">
        <v>22</v>
      </c>
      <c r="J296" t="b">
        <v>0</v>
      </c>
      <c r="K296" t="s">
        <v>45</v>
      </c>
      <c r="L296">
        <v>5560</v>
      </c>
      <c r="M296" t="s">
        <v>24</v>
      </c>
      <c r="N296">
        <v>20261105000293</v>
      </c>
      <c r="O296" t="s">
        <v>25</v>
      </c>
      <c r="P296" t="s">
        <v>26</v>
      </c>
      <c r="Q296" t="s">
        <v>27</v>
      </c>
      <c r="R296">
        <v>90</v>
      </c>
      <c r="S296">
        <v>91</v>
      </c>
    </row>
    <row r="297" spans="1:19">
      <c r="A297" t="s">
        <v>59</v>
      </c>
      <c r="B297" s="1">
        <v>46045</v>
      </c>
      <c r="C297" s="2">
        <v>0.82291666666666663</v>
      </c>
      <c r="D297" t="s">
        <v>43</v>
      </c>
      <c r="E297" t="s">
        <v>39</v>
      </c>
      <c r="F297" s="3">
        <v>8.5416666666666669E-2</v>
      </c>
      <c r="G297" t="s">
        <v>315</v>
      </c>
      <c r="H297" t="s">
        <v>35</v>
      </c>
      <c r="I297" t="s">
        <v>22</v>
      </c>
      <c r="J297" t="b">
        <v>0</v>
      </c>
      <c r="K297" t="s">
        <v>72</v>
      </c>
      <c r="L297">
        <v>5905</v>
      </c>
      <c r="M297" t="s">
        <v>24</v>
      </c>
      <c r="N297">
        <v>20261105000294</v>
      </c>
      <c r="O297" t="s">
        <v>25</v>
      </c>
      <c r="P297" t="s">
        <v>26</v>
      </c>
      <c r="Q297" t="s">
        <v>27</v>
      </c>
      <c r="R297">
        <v>90</v>
      </c>
      <c r="S297">
        <v>91</v>
      </c>
    </row>
    <row r="298" spans="1:19">
      <c r="A298" t="s">
        <v>73</v>
      </c>
      <c r="B298" s="1">
        <v>46046</v>
      </c>
      <c r="C298" s="2">
        <v>0.82291666666666663</v>
      </c>
      <c r="D298" t="s">
        <v>39</v>
      </c>
      <c r="E298" t="s">
        <v>19</v>
      </c>
      <c r="F298" s="3">
        <v>0.16805555555555557</v>
      </c>
      <c r="G298" t="s">
        <v>316</v>
      </c>
      <c r="H298" t="s">
        <v>21</v>
      </c>
      <c r="I298" t="s">
        <v>22</v>
      </c>
      <c r="J298" t="b">
        <v>0</v>
      </c>
      <c r="K298" t="s">
        <v>61</v>
      </c>
      <c r="L298">
        <v>4422</v>
      </c>
      <c r="M298" t="s">
        <v>24</v>
      </c>
      <c r="N298">
        <v>20261105000295</v>
      </c>
      <c r="O298" t="s">
        <v>25</v>
      </c>
      <c r="P298" t="s">
        <v>26</v>
      </c>
      <c r="Q298" t="s">
        <v>27</v>
      </c>
      <c r="R298">
        <v>90</v>
      </c>
      <c r="S298">
        <v>91</v>
      </c>
    </row>
    <row r="299" spans="1:19">
      <c r="A299" t="s">
        <v>73</v>
      </c>
      <c r="B299" s="1">
        <v>46046</v>
      </c>
      <c r="C299" s="2">
        <v>0.82291666666666663</v>
      </c>
      <c r="D299" t="s">
        <v>52</v>
      </c>
      <c r="E299" t="s">
        <v>29</v>
      </c>
      <c r="F299" s="3">
        <v>0.12569444444444444</v>
      </c>
      <c r="G299" t="s">
        <v>317</v>
      </c>
      <c r="H299" t="s">
        <v>21</v>
      </c>
      <c r="I299" t="s">
        <v>22</v>
      </c>
      <c r="J299" t="b">
        <v>0</v>
      </c>
      <c r="K299" t="s">
        <v>64</v>
      </c>
      <c r="L299">
        <v>16501</v>
      </c>
      <c r="M299" t="s">
        <v>24</v>
      </c>
      <c r="N299">
        <v>20261105000296</v>
      </c>
      <c r="O299" t="s">
        <v>25</v>
      </c>
      <c r="P299" t="s">
        <v>26</v>
      </c>
      <c r="Q299" t="s">
        <v>27</v>
      </c>
      <c r="R299">
        <v>90</v>
      </c>
      <c r="S299">
        <v>91</v>
      </c>
    </row>
    <row r="300" spans="1:19">
      <c r="A300" t="s">
        <v>73</v>
      </c>
      <c r="B300" s="1">
        <v>46046</v>
      </c>
      <c r="C300" s="2">
        <v>0.82291666666666663</v>
      </c>
      <c r="D300" t="s">
        <v>47</v>
      </c>
      <c r="E300" t="s">
        <v>42</v>
      </c>
      <c r="F300" s="3">
        <v>0.21111111111111111</v>
      </c>
      <c r="G300" t="s">
        <v>318</v>
      </c>
      <c r="H300" t="s">
        <v>21</v>
      </c>
      <c r="I300" t="s">
        <v>22</v>
      </c>
      <c r="J300" t="b">
        <v>0</v>
      </c>
      <c r="K300" t="s">
        <v>57</v>
      </c>
      <c r="L300">
        <v>6033</v>
      </c>
      <c r="M300" t="s">
        <v>24</v>
      </c>
      <c r="N300">
        <v>20261105000297</v>
      </c>
      <c r="O300" t="s">
        <v>25</v>
      </c>
      <c r="P300" t="s">
        <v>26</v>
      </c>
      <c r="Q300" t="s">
        <v>27</v>
      </c>
      <c r="R300">
        <v>90</v>
      </c>
      <c r="S300">
        <v>91</v>
      </c>
    </row>
    <row r="301" spans="1:19">
      <c r="A301" t="s">
        <v>73</v>
      </c>
      <c r="B301" s="1">
        <v>46046</v>
      </c>
      <c r="C301" s="2">
        <v>0.82291666666666663</v>
      </c>
      <c r="D301" t="s">
        <v>33</v>
      </c>
      <c r="E301" t="s">
        <v>28</v>
      </c>
      <c r="F301" s="3">
        <v>4.4444444444444446E-2</v>
      </c>
      <c r="G301" t="s">
        <v>150</v>
      </c>
      <c r="H301" t="s">
        <v>21</v>
      </c>
      <c r="I301" t="s">
        <v>22</v>
      </c>
      <c r="J301" t="b">
        <v>0</v>
      </c>
      <c r="K301" t="s">
        <v>68</v>
      </c>
      <c r="L301">
        <v>6614</v>
      </c>
      <c r="M301" t="s">
        <v>24</v>
      </c>
      <c r="N301">
        <v>20261105000299</v>
      </c>
      <c r="O301" t="s">
        <v>25</v>
      </c>
      <c r="P301" t="s">
        <v>26</v>
      </c>
      <c r="Q301" t="s">
        <v>27</v>
      </c>
      <c r="R301">
        <v>90</v>
      </c>
      <c r="S301">
        <v>91</v>
      </c>
    </row>
    <row r="302" spans="1:19">
      <c r="A302" t="s">
        <v>73</v>
      </c>
      <c r="B302" s="1">
        <v>46046</v>
      </c>
      <c r="C302" s="2">
        <v>0.82291666666666663</v>
      </c>
      <c r="D302" t="s">
        <v>46</v>
      </c>
      <c r="E302" t="s">
        <v>32</v>
      </c>
      <c r="F302" s="3">
        <v>0.12777777777777777</v>
      </c>
      <c r="G302" t="s">
        <v>319</v>
      </c>
      <c r="H302" t="s">
        <v>63</v>
      </c>
      <c r="I302" t="s">
        <v>22</v>
      </c>
      <c r="J302" t="b">
        <v>0</v>
      </c>
      <c r="K302" t="s">
        <v>49</v>
      </c>
      <c r="L302">
        <v>12000</v>
      </c>
      <c r="M302" t="s">
        <v>24</v>
      </c>
      <c r="N302">
        <v>20261105000300</v>
      </c>
      <c r="O302" t="s">
        <v>25</v>
      </c>
      <c r="P302" t="s">
        <v>26</v>
      </c>
      <c r="Q302" t="s">
        <v>27</v>
      </c>
      <c r="R302">
        <v>90</v>
      </c>
      <c r="S302">
        <v>91</v>
      </c>
    </row>
    <row r="303" spans="1:19">
      <c r="A303" t="s">
        <v>73</v>
      </c>
      <c r="B303" s="1">
        <v>46046</v>
      </c>
      <c r="C303" s="2">
        <v>0.82291666666666663</v>
      </c>
      <c r="D303" t="s">
        <v>51</v>
      </c>
      <c r="E303" t="s">
        <v>43</v>
      </c>
      <c r="F303" s="3">
        <v>0.12569444444444444</v>
      </c>
      <c r="G303" t="s">
        <v>205</v>
      </c>
      <c r="H303" t="s">
        <v>21</v>
      </c>
      <c r="I303" t="s">
        <v>22</v>
      </c>
      <c r="J303" t="b">
        <v>0</v>
      </c>
      <c r="K303" t="s">
        <v>54</v>
      </c>
      <c r="L303">
        <v>7429</v>
      </c>
      <c r="M303" t="s">
        <v>24</v>
      </c>
      <c r="N303">
        <v>20261105000301</v>
      </c>
      <c r="O303" t="s">
        <v>25</v>
      </c>
      <c r="P303" t="s">
        <v>26</v>
      </c>
      <c r="Q303" t="s">
        <v>27</v>
      </c>
      <c r="R303">
        <v>90</v>
      </c>
      <c r="S303">
        <v>91</v>
      </c>
    </row>
    <row r="304" spans="1:19">
      <c r="A304" t="s">
        <v>270</v>
      </c>
      <c r="B304" s="1">
        <v>46048</v>
      </c>
      <c r="C304" s="2">
        <v>0.82291666666666663</v>
      </c>
      <c r="D304" t="s">
        <v>38</v>
      </c>
      <c r="E304" t="s">
        <v>18</v>
      </c>
      <c r="F304" s="3">
        <v>0.12777777777777777</v>
      </c>
      <c r="G304" t="s">
        <v>320</v>
      </c>
      <c r="H304" t="s">
        <v>35</v>
      </c>
      <c r="I304" t="s">
        <v>22</v>
      </c>
      <c r="J304" t="b">
        <v>0</v>
      </c>
      <c r="K304" t="s">
        <v>41</v>
      </c>
      <c r="L304">
        <v>5938</v>
      </c>
      <c r="M304" t="s">
        <v>37</v>
      </c>
      <c r="N304">
        <v>20261105000298</v>
      </c>
      <c r="O304" t="s">
        <v>25</v>
      </c>
      <c r="P304" t="s">
        <v>26</v>
      </c>
      <c r="Q304" t="s">
        <v>27</v>
      </c>
      <c r="R304">
        <v>90</v>
      </c>
      <c r="S304">
        <v>91</v>
      </c>
    </row>
    <row r="305" spans="1:19">
      <c r="A305" t="s">
        <v>17</v>
      </c>
      <c r="B305" s="1">
        <v>46049</v>
      </c>
      <c r="C305" s="2">
        <v>0.82291666666666663</v>
      </c>
      <c r="D305" t="s">
        <v>47</v>
      </c>
      <c r="E305" t="s">
        <v>39</v>
      </c>
      <c r="F305" s="3">
        <v>0.25208333333333333</v>
      </c>
      <c r="G305" t="s">
        <v>321</v>
      </c>
      <c r="H305" t="s">
        <v>21</v>
      </c>
      <c r="I305" t="s">
        <v>22</v>
      </c>
      <c r="J305" t="b">
        <v>0</v>
      </c>
      <c r="K305" t="s">
        <v>57</v>
      </c>
      <c r="L305">
        <v>6131</v>
      </c>
      <c r="M305" t="s">
        <v>24</v>
      </c>
      <c r="N305">
        <v>20261105000302</v>
      </c>
      <c r="O305" t="s">
        <v>25</v>
      </c>
      <c r="P305" t="s">
        <v>26</v>
      </c>
      <c r="Q305" t="s">
        <v>27</v>
      </c>
      <c r="R305">
        <v>90</v>
      </c>
      <c r="S305">
        <v>91</v>
      </c>
    </row>
    <row r="306" spans="1:19">
      <c r="A306" t="s">
        <v>17</v>
      </c>
      <c r="B306" s="1">
        <v>46049</v>
      </c>
      <c r="C306" s="2">
        <v>0.82291666666666663</v>
      </c>
      <c r="D306" t="s">
        <v>28</v>
      </c>
      <c r="E306" t="s">
        <v>51</v>
      </c>
      <c r="F306" s="3">
        <v>0.1673611111111111</v>
      </c>
      <c r="G306" t="s">
        <v>322</v>
      </c>
      <c r="H306" t="s">
        <v>21</v>
      </c>
      <c r="I306" t="s">
        <v>22</v>
      </c>
      <c r="J306" t="b">
        <v>0</v>
      </c>
      <c r="K306" t="s">
        <v>31</v>
      </c>
      <c r="L306">
        <v>6076</v>
      </c>
      <c r="M306" t="s">
        <v>24</v>
      </c>
      <c r="N306">
        <v>20261105000303</v>
      </c>
      <c r="O306" t="s">
        <v>25</v>
      </c>
      <c r="P306" t="s">
        <v>26</v>
      </c>
      <c r="Q306" t="s">
        <v>27</v>
      </c>
      <c r="R306">
        <v>90</v>
      </c>
      <c r="S306">
        <v>91</v>
      </c>
    </row>
    <row r="307" spans="1:19">
      <c r="A307" t="s">
        <v>17</v>
      </c>
      <c r="B307" s="1">
        <v>46049</v>
      </c>
      <c r="C307" s="2">
        <v>0.82291666666666663</v>
      </c>
      <c r="D307" t="s">
        <v>32</v>
      </c>
      <c r="E307" t="s">
        <v>18</v>
      </c>
      <c r="F307" s="3">
        <v>0.16875000000000001</v>
      </c>
      <c r="G307" t="s">
        <v>323</v>
      </c>
      <c r="H307" t="s">
        <v>35</v>
      </c>
      <c r="I307" t="s">
        <v>22</v>
      </c>
      <c r="J307" t="b">
        <v>0</v>
      </c>
      <c r="K307" t="s">
        <v>36</v>
      </c>
      <c r="L307">
        <v>9372</v>
      </c>
      <c r="M307" t="s">
        <v>24</v>
      </c>
      <c r="N307">
        <v>20261105000304</v>
      </c>
      <c r="O307" t="s">
        <v>25</v>
      </c>
      <c r="P307" t="s">
        <v>26</v>
      </c>
      <c r="Q307" t="s">
        <v>27</v>
      </c>
      <c r="R307">
        <v>90</v>
      </c>
      <c r="S307">
        <v>91</v>
      </c>
    </row>
    <row r="308" spans="1:19">
      <c r="A308" t="s">
        <v>17</v>
      </c>
      <c r="B308" s="1">
        <v>46049</v>
      </c>
      <c r="C308" s="2">
        <v>0.82291666666666663</v>
      </c>
      <c r="D308" t="s">
        <v>19</v>
      </c>
      <c r="E308" t="s">
        <v>46</v>
      </c>
      <c r="F308" s="3">
        <v>8.611111111111111E-2</v>
      </c>
      <c r="G308" t="s">
        <v>245</v>
      </c>
      <c r="H308" t="s">
        <v>21</v>
      </c>
      <c r="I308" t="s">
        <v>22</v>
      </c>
      <c r="J308" t="b">
        <v>0</v>
      </c>
      <c r="K308" t="s">
        <v>66</v>
      </c>
      <c r="L308">
        <v>6296</v>
      </c>
      <c r="M308" t="s">
        <v>24</v>
      </c>
      <c r="N308">
        <v>20261105000305</v>
      </c>
      <c r="O308" t="s">
        <v>25</v>
      </c>
      <c r="P308" t="s">
        <v>26</v>
      </c>
      <c r="Q308" t="s">
        <v>27</v>
      </c>
      <c r="R308">
        <v>90</v>
      </c>
      <c r="S308">
        <v>91</v>
      </c>
    </row>
    <row r="309" spans="1:19">
      <c r="A309" t="s">
        <v>17</v>
      </c>
      <c r="B309" s="1">
        <v>46049</v>
      </c>
      <c r="C309" s="2">
        <v>0.82291666666666663</v>
      </c>
      <c r="D309" t="s">
        <v>33</v>
      </c>
      <c r="E309" t="s">
        <v>42</v>
      </c>
      <c r="F309" s="3">
        <v>0.29375000000000001</v>
      </c>
      <c r="G309" t="s">
        <v>324</v>
      </c>
      <c r="H309" t="s">
        <v>21</v>
      </c>
      <c r="I309" t="s">
        <v>22</v>
      </c>
      <c r="J309" t="b">
        <v>0</v>
      </c>
      <c r="K309" t="s">
        <v>68</v>
      </c>
      <c r="L309">
        <v>5072</v>
      </c>
      <c r="M309" t="s">
        <v>24</v>
      </c>
      <c r="N309">
        <v>20261105000306</v>
      </c>
      <c r="O309" t="s">
        <v>25</v>
      </c>
      <c r="P309" t="s">
        <v>26</v>
      </c>
      <c r="Q309" t="s">
        <v>27</v>
      </c>
      <c r="R309">
        <v>90</v>
      </c>
      <c r="S309">
        <v>91</v>
      </c>
    </row>
    <row r="310" spans="1:19">
      <c r="A310" t="s">
        <v>17</v>
      </c>
      <c r="B310" s="1">
        <v>46049</v>
      </c>
      <c r="C310" s="2">
        <v>0.82291666666666663</v>
      </c>
      <c r="D310" t="s">
        <v>43</v>
      </c>
      <c r="E310" t="s">
        <v>52</v>
      </c>
      <c r="F310" s="3">
        <v>0.12777777777777777</v>
      </c>
      <c r="G310" t="s">
        <v>325</v>
      </c>
      <c r="H310" t="s">
        <v>35</v>
      </c>
      <c r="I310" t="s">
        <v>22</v>
      </c>
      <c r="J310" t="b">
        <v>0</v>
      </c>
      <c r="K310" t="s">
        <v>72</v>
      </c>
      <c r="L310">
        <v>6000</v>
      </c>
      <c r="M310" t="s">
        <v>58</v>
      </c>
      <c r="N310">
        <v>20261105000308</v>
      </c>
      <c r="O310" t="s">
        <v>25</v>
      </c>
      <c r="P310" t="s">
        <v>26</v>
      </c>
      <c r="Q310" t="s">
        <v>27</v>
      </c>
      <c r="R310">
        <v>90</v>
      </c>
      <c r="S310">
        <v>91</v>
      </c>
    </row>
    <row r="311" spans="1:19">
      <c r="A311" t="s">
        <v>55</v>
      </c>
      <c r="B311" s="1">
        <v>46051</v>
      </c>
      <c r="C311" s="2">
        <v>0.82291666666666663</v>
      </c>
      <c r="D311" t="s">
        <v>18</v>
      </c>
      <c r="E311" t="s">
        <v>33</v>
      </c>
      <c r="F311" s="3">
        <v>0.12638888888888888</v>
      </c>
      <c r="G311" t="s">
        <v>326</v>
      </c>
      <c r="H311" t="s">
        <v>21</v>
      </c>
      <c r="I311" t="s">
        <v>22</v>
      </c>
      <c r="J311" t="b">
        <v>0</v>
      </c>
      <c r="K311" t="s">
        <v>23</v>
      </c>
      <c r="L311">
        <v>6775</v>
      </c>
      <c r="M311" t="s">
        <v>37</v>
      </c>
      <c r="N311">
        <v>20261105000309</v>
      </c>
      <c r="O311" t="s">
        <v>25</v>
      </c>
      <c r="P311" t="s">
        <v>26</v>
      </c>
      <c r="Q311" t="s">
        <v>27</v>
      </c>
      <c r="R311">
        <v>90</v>
      </c>
      <c r="S311">
        <v>91</v>
      </c>
    </row>
    <row r="312" spans="1:19">
      <c r="A312" t="s">
        <v>55</v>
      </c>
      <c r="B312" s="1">
        <v>46051</v>
      </c>
      <c r="C312" s="2">
        <v>0.82291666666666663</v>
      </c>
      <c r="D312" t="s">
        <v>38</v>
      </c>
      <c r="E312" t="s">
        <v>32</v>
      </c>
      <c r="F312" s="3">
        <v>0.12847222222222221</v>
      </c>
      <c r="G312" t="s">
        <v>327</v>
      </c>
      <c r="H312" t="s">
        <v>21</v>
      </c>
      <c r="I312" t="s">
        <v>22</v>
      </c>
      <c r="J312" t="b">
        <v>0</v>
      </c>
      <c r="K312" t="s">
        <v>41</v>
      </c>
      <c r="L312">
        <v>7135</v>
      </c>
      <c r="M312" t="s">
        <v>24</v>
      </c>
      <c r="N312">
        <v>20261105000311</v>
      </c>
      <c r="O312" t="s">
        <v>25</v>
      </c>
      <c r="P312" t="s">
        <v>26</v>
      </c>
      <c r="Q312" t="s">
        <v>27</v>
      </c>
      <c r="R312">
        <v>90</v>
      </c>
      <c r="S312">
        <v>91</v>
      </c>
    </row>
    <row r="313" spans="1:19">
      <c r="A313" t="s">
        <v>55</v>
      </c>
      <c r="B313" s="1">
        <v>46051</v>
      </c>
      <c r="C313" s="2">
        <v>0.82291666666666663</v>
      </c>
      <c r="D313" t="s">
        <v>42</v>
      </c>
      <c r="E313" t="s">
        <v>28</v>
      </c>
      <c r="F313" s="3">
        <v>0.12777777777777777</v>
      </c>
      <c r="G313" t="s">
        <v>328</v>
      </c>
      <c r="H313" t="s">
        <v>21</v>
      </c>
      <c r="I313" t="s">
        <v>22</v>
      </c>
      <c r="J313" t="b">
        <v>0</v>
      </c>
      <c r="K313" t="s">
        <v>45</v>
      </c>
      <c r="L313">
        <v>6025</v>
      </c>
      <c r="M313" t="s">
        <v>24</v>
      </c>
      <c r="N313">
        <v>20261105000314</v>
      </c>
      <c r="O313" t="s">
        <v>25</v>
      </c>
      <c r="P313" t="s">
        <v>26</v>
      </c>
      <c r="Q313" t="s">
        <v>27</v>
      </c>
      <c r="R313">
        <v>90</v>
      </c>
      <c r="S313">
        <v>91</v>
      </c>
    </row>
    <row r="314" spans="1:19">
      <c r="A314" t="s">
        <v>59</v>
      </c>
      <c r="B314" s="1">
        <v>46052</v>
      </c>
      <c r="C314" s="2">
        <v>0.82291666666666663</v>
      </c>
      <c r="D314" t="s">
        <v>47</v>
      </c>
      <c r="E314" t="s">
        <v>46</v>
      </c>
      <c r="F314" s="3">
        <v>4.5138888888888888E-2</v>
      </c>
      <c r="G314" t="s">
        <v>131</v>
      </c>
      <c r="H314" t="s">
        <v>21</v>
      </c>
      <c r="I314" t="s">
        <v>22</v>
      </c>
      <c r="J314" t="b">
        <v>0</v>
      </c>
      <c r="K314" t="s">
        <v>57</v>
      </c>
      <c r="L314">
        <v>6382</v>
      </c>
      <c r="M314" t="s">
        <v>24</v>
      </c>
      <c r="N314">
        <v>20261105000317</v>
      </c>
      <c r="O314" t="s">
        <v>25</v>
      </c>
      <c r="P314" t="s">
        <v>26</v>
      </c>
      <c r="Q314" t="s">
        <v>27</v>
      </c>
      <c r="R314">
        <v>90</v>
      </c>
      <c r="S314">
        <v>91</v>
      </c>
    </row>
    <row r="315" spans="1:19">
      <c r="A315" t="s">
        <v>59</v>
      </c>
      <c r="B315" s="1">
        <v>46052</v>
      </c>
      <c r="C315" s="2">
        <v>0.82291666666666663</v>
      </c>
      <c r="D315" t="s">
        <v>28</v>
      </c>
      <c r="E315" t="s">
        <v>52</v>
      </c>
      <c r="F315" s="3">
        <v>8.4027777777777785E-2</v>
      </c>
      <c r="G315" t="s">
        <v>329</v>
      </c>
      <c r="H315" t="s">
        <v>21</v>
      </c>
      <c r="I315" t="s">
        <v>22</v>
      </c>
      <c r="J315" t="b">
        <v>0</v>
      </c>
      <c r="K315" t="s">
        <v>31</v>
      </c>
      <c r="L315">
        <v>6547</v>
      </c>
      <c r="M315" t="s">
        <v>58</v>
      </c>
      <c r="N315">
        <v>20261105000318</v>
      </c>
      <c r="O315" t="s">
        <v>25</v>
      </c>
      <c r="P315" t="s">
        <v>26</v>
      </c>
      <c r="Q315" t="s">
        <v>27</v>
      </c>
      <c r="R315">
        <v>90</v>
      </c>
      <c r="S315">
        <v>91</v>
      </c>
    </row>
    <row r="316" spans="1:19">
      <c r="A316" t="s">
        <v>59</v>
      </c>
      <c r="B316" s="1">
        <v>46052</v>
      </c>
      <c r="C316" s="2">
        <v>0.82291666666666663</v>
      </c>
      <c r="D316" t="s">
        <v>32</v>
      </c>
      <c r="E316" t="s">
        <v>19</v>
      </c>
      <c r="F316" s="3">
        <v>0.12638888888888888</v>
      </c>
      <c r="G316" t="s">
        <v>34</v>
      </c>
      <c r="H316" t="s">
        <v>35</v>
      </c>
      <c r="I316" t="s">
        <v>22</v>
      </c>
      <c r="J316" t="b">
        <v>0</v>
      </c>
      <c r="K316" t="s">
        <v>36</v>
      </c>
      <c r="L316">
        <v>9372</v>
      </c>
      <c r="M316" t="s">
        <v>24</v>
      </c>
      <c r="N316">
        <v>20261105000319</v>
      </c>
      <c r="O316" t="s">
        <v>25</v>
      </c>
      <c r="P316" t="s">
        <v>26</v>
      </c>
      <c r="Q316" t="s">
        <v>27</v>
      </c>
      <c r="R316">
        <v>90</v>
      </c>
      <c r="S316">
        <v>91</v>
      </c>
    </row>
    <row r="317" spans="1:19">
      <c r="A317" t="s">
        <v>59</v>
      </c>
      <c r="B317" s="1">
        <v>46052</v>
      </c>
      <c r="C317" s="2">
        <v>0.82291666666666663</v>
      </c>
      <c r="D317" t="s">
        <v>51</v>
      </c>
      <c r="E317" t="s">
        <v>29</v>
      </c>
      <c r="F317" s="3">
        <v>4.4444444444444446E-2</v>
      </c>
      <c r="G317" t="s">
        <v>330</v>
      </c>
      <c r="H317" t="s">
        <v>21</v>
      </c>
      <c r="I317" t="s">
        <v>22</v>
      </c>
      <c r="J317" t="b">
        <v>0</v>
      </c>
      <c r="K317" t="s">
        <v>54</v>
      </c>
      <c r="L317">
        <v>7371</v>
      </c>
      <c r="M317" t="s">
        <v>24</v>
      </c>
      <c r="N317">
        <v>20261105000322</v>
      </c>
      <c r="O317" t="s">
        <v>25</v>
      </c>
      <c r="P317" t="s">
        <v>26</v>
      </c>
      <c r="Q317" t="s">
        <v>27</v>
      </c>
      <c r="R317">
        <v>90</v>
      </c>
      <c r="S317">
        <v>91</v>
      </c>
    </row>
    <row r="318" spans="1:19">
      <c r="A318" t="s">
        <v>59</v>
      </c>
      <c r="B318" s="1">
        <v>46052</v>
      </c>
      <c r="C318" s="2">
        <v>0.82638888888888884</v>
      </c>
      <c r="D318" t="s">
        <v>39</v>
      </c>
      <c r="E318" t="s">
        <v>42</v>
      </c>
      <c r="F318" s="3">
        <v>8.6805555555555552E-2</v>
      </c>
      <c r="G318" t="s">
        <v>331</v>
      </c>
      <c r="H318" t="s">
        <v>21</v>
      </c>
      <c r="I318" t="s">
        <v>22</v>
      </c>
      <c r="J318" t="b">
        <v>0</v>
      </c>
      <c r="K318" t="s">
        <v>61</v>
      </c>
      <c r="L318">
        <v>4153</v>
      </c>
      <c r="M318" t="s">
        <v>24</v>
      </c>
      <c r="N318">
        <v>20261105000316</v>
      </c>
      <c r="O318" t="s">
        <v>25</v>
      </c>
      <c r="P318" t="s">
        <v>26</v>
      </c>
      <c r="Q318" t="s">
        <v>27</v>
      </c>
      <c r="R318">
        <v>90</v>
      </c>
      <c r="S318">
        <v>91</v>
      </c>
    </row>
    <row r="319" spans="1:19">
      <c r="A319" t="s">
        <v>73</v>
      </c>
      <c r="B319" s="1">
        <v>46053</v>
      </c>
      <c r="C319" s="2">
        <v>0.82291666666666663</v>
      </c>
      <c r="D319" t="s">
        <v>46</v>
      </c>
      <c r="E319" t="s">
        <v>51</v>
      </c>
      <c r="F319" s="3">
        <v>8.611111111111111E-2</v>
      </c>
      <c r="G319" t="s">
        <v>332</v>
      </c>
      <c r="H319" t="s">
        <v>21</v>
      </c>
      <c r="I319" t="s">
        <v>22</v>
      </c>
      <c r="J319" t="b">
        <v>0</v>
      </c>
      <c r="K319" t="s">
        <v>49</v>
      </c>
      <c r="L319">
        <v>12000</v>
      </c>
      <c r="M319" t="s">
        <v>24</v>
      </c>
      <c r="N319">
        <v>20261105000315</v>
      </c>
      <c r="O319" t="s">
        <v>25</v>
      </c>
      <c r="P319" t="s">
        <v>26</v>
      </c>
      <c r="Q319" t="s">
        <v>27</v>
      </c>
      <c r="R319">
        <v>90</v>
      </c>
      <c r="S319">
        <v>91</v>
      </c>
    </row>
    <row r="320" spans="1:19">
      <c r="A320" t="s">
        <v>73</v>
      </c>
      <c r="B320" s="1">
        <v>46053</v>
      </c>
      <c r="C320" s="2">
        <v>0.82291666666666663</v>
      </c>
      <c r="D320" t="s">
        <v>33</v>
      </c>
      <c r="E320" t="s">
        <v>38</v>
      </c>
      <c r="F320" s="3">
        <v>0.20902777777777778</v>
      </c>
      <c r="G320" t="s">
        <v>333</v>
      </c>
      <c r="H320" t="s">
        <v>21</v>
      </c>
      <c r="I320" t="s">
        <v>22</v>
      </c>
      <c r="J320" t="b">
        <v>0</v>
      </c>
      <c r="K320" t="s">
        <v>68</v>
      </c>
      <c r="L320">
        <v>5602</v>
      </c>
      <c r="M320" t="s">
        <v>50</v>
      </c>
      <c r="N320">
        <v>20261105000320</v>
      </c>
      <c r="O320" t="s">
        <v>25</v>
      </c>
      <c r="P320" t="s">
        <v>26</v>
      </c>
      <c r="Q320" t="s">
        <v>27</v>
      </c>
      <c r="R320">
        <v>90</v>
      </c>
      <c r="S320">
        <v>91</v>
      </c>
    </row>
    <row r="321" spans="1:19">
      <c r="A321" t="s">
        <v>73</v>
      </c>
      <c r="B321" s="1">
        <v>46053</v>
      </c>
      <c r="C321" s="2">
        <v>0.82291666666666663</v>
      </c>
      <c r="D321" t="s">
        <v>43</v>
      </c>
      <c r="E321" t="s">
        <v>18</v>
      </c>
      <c r="F321" s="3">
        <v>0.25208333333333333</v>
      </c>
      <c r="G321" t="s">
        <v>334</v>
      </c>
      <c r="H321" t="s">
        <v>21</v>
      </c>
      <c r="I321" t="s">
        <v>22</v>
      </c>
      <c r="J321" t="b">
        <v>0</v>
      </c>
      <c r="K321" t="s">
        <v>72</v>
      </c>
      <c r="L321">
        <v>6000</v>
      </c>
      <c r="M321" t="s">
        <v>24</v>
      </c>
      <c r="N321">
        <v>20261105000321</v>
      </c>
      <c r="O321" t="s">
        <v>25</v>
      </c>
      <c r="P321" t="s">
        <v>26</v>
      </c>
      <c r="Q321" t="s">
        <v>27</v>
      </c>
      <c r="R321">
        <v>90</v>
      </c>
      <c r="S321">
        <v>91</v>
      </c>
    </row>
    <row r="322" spans="1:19">
      <c r="A322" t="s">
        <v>80</v>
      </c>
      <c r="B322" s="1">
        <v>46054</v>
      </c>
      <c r="C322" s="2">
        <v>0.58333333333333337</v>
      </c>
      <c r="D322" t="s">
        <v>52</v>
      </c>
      <c r="E322" t="s">
        <v>39</v>
      </c>
      <c r="F322" s="3">
        <v>0.20833333333333334</v>
      </c>
      <c r="G322" t="s">
        <v>335</v>
      </c>
      <c r="H322" t="s">
        <v>21</v>
      </c>
      <c r="I322" t="s">
        <v>22</v>
      </c>
      <c r="J322" t="b">
        <v>0</v>
      </c>
      <c r="K322" t="s">
        <v>64</v>
      </c>
      <c r="L322">
        <v>17031</v>
      </c>
      <c r="M322" t="s">
        <v>24</v>
      </c>
      <c r="N322">
        <v>20261105000310</v>
      </c>
      <c r="O322" t="s">
        <v>25</v>
      </c>
      <c r="P322" t="s">
        <v>26</v>
      </c>
      <c r="Q322" t="s">
        <v>27</v>
      </c>
      <c r="R322">
        <v>90</v>
      </c>
      <c r="S322">
        <v>91</v>
      </c>
    </row>
    <row r="323" spans="1:19">
      <c r="A323" t="s">
        <v>80</v>
      </c>
      <c r="B323" s="1">
        <v>46054</v>
      </c>
      <c r="C323" s="2">
        <v>0.58333333333333337</v>
      </c>
      <c r="D323" t="s">
        <v>19</v>
      </c>
      <c r="E323" t="s">
        <v>47</v>
      </c>
      <c r="F323" s="3">
        <v>0.12638888888888888</v>
      </c>
      <c r="G323" t="s">
        <v>84</v>
      </c>
      <c r="H323" t="s">
        <v>35</v>
      </c>
      <c r="I323" t="s">
        <v>22</v>
      </c>
      <c r="J323" t="b">
        <v>0</v>
      </c>
      <c r="K323" t="s">
        <v>66</v>
      </c>
      <c r="L323">
        <v>6189</v>
      </c>
      <c r="M323" t="s">
        <v>24</v>
      </c>
      <c r="N323">
        <v>20261105000312</v>
      </c>
      <c r="O323" t="s">
        <v>25</v>
      </c>
      <c r="P323" t="s">
        <v>26</v>
      </c>
      <c r="Q323" t="s">
        <v>27</v>
      </c>
      <c r="R323">
        <v>90</v>
      </c>
      <c r="S323">
        <v>91</v>
      </c>
    </row>
    <row r="324" spans="1:19">
      <c r="A324" t="s">
        <v>80</v>
      </c>
      <c r="B324" s="1">
        <v>46054</v>
      </c>
      <c r="C324" s="2">
        <v>0.65625</v>
      </c>
      <c r="D324" t="s">
        <v>28</v>
      </c>
      <c r="E324" t="s">
        <v>32</v>
      </c>
      <c r="F324" s="3">
        <v>0.20972222222222223</v>
      </c>
      <c r="G324" t="s">
        <v>336</v>
      </c>
      <c r="H324" t="s">
        <v>21</v>
      </c>
      <c r="I324" t="s">
        <v>22</v>
      </c>
      <c r="J324" t="b">
        <v>0</v>
      </c>
      <c r="K324" t="s">
        <v>31</v>
      </c>
      <c r="L324">
        <v>6547</v>
      </c>
      <c r="M324" t="s">
        <v>24</v>
      </c>
      <c r="N324">
        <v>20261105000276</v>
      </c>
      <c r="O324" t="s">
        <v>25</v>
      </c>
      <c r="P324" t="s">
        <v>26</v>
      </c>
      <c r="Q324" t="s">
        <v>27</v>
      </c>
      <c r="R324">
        <v>90</v>
      </c>
      <c r="S324">
        <v>91</v>
      </c>
    </row>
    <row r="325" spans="1:19">
      <c r="A325" t="s">
        <v>17</v>
      </c>
      <c r="B325" s="1">
        <v>46077</v>
      </c>
      <c r="C325" s="2">
        <v>0.82291666666666663</v>
      </c>
      <c r="D325" t="s">
        <v>18</v>
      </c>
      <c r="E325" t="s">
        <v>29</v>
      </c>
      <c r="F325" s="3">
        <v>0.12638888888888888</v>
      </c>
      <c r="G325" t="s">
        <v>337</v>
      </c>
      <c r="H325" t="s">
        <v>35</v>
      </c>
      <c r="I325" t="s">
        <v>22</v>
      </c>
      <c r="J325" t="b">
        <v>0</v>
      </c>
      <c r="K325" t="s">
        <v>23</v>
      </c>
      <c r="L325">
        <v>6093</v>
      </c>
      <c r="M325" t="s">
        <v>24</v>
      </c>
      <c r="N325">
        <v>20261105000323</v>
      </c>
      <c r="O325" t="s">
        <v>25</v>
      </c>
      <c r="P325" t="s">
        <v>26</v>
      </c>
      <c r="Q325" t="s">
        <v>27</v>
      </c>
      <c r="R325">
        <v>90</v>
      </c>
      <c r="S325">
        <v>91</v>
      </c>
    </row>
    <row r="326" spans="1:19">
      <c r="A326" t="s">
        <v>17</v>
      </c>
      <c r="B326" s="1">
        <v>46077</v>
      </c>
      <c r="C326" s="2">
        <v>0.82291666666666663</v>
      </c>
      <c r="D326" t="s">
        <v>52</v>
      </c>
      <c r="E326" t="s">
        <v>19</v>
      </c>
      <c r="F326" s="3">
        <v>4.3055555555555555E-2</v>
      </c>
      <c r="G326" t="s">
        <v>215</v>
      </c>
      <c r="H326" t="s">
        <v>35</v>
      </c>
      <c r="I326" t="s">
        <v>22</v>
      </c>
      <c r="J326" t="b">
        <v>0</v>
      </c>
      <c r="K326" t="s">
        <v>64</v>
      </c>
      <c r="L326">
        <v>14789</v>
      </c>
      <c r="M326" t="s">
        <v>24</v>
      </c>
      <c r="N326">
        <v>20261105000324</v>
      </c>
      <c r="O326" t="s">
        <v>25</v>
      </c>
      <c r="P326" t="s">
        <v>26</v>
      </c>
      <c r="Q326" t="s">
        <v>27</v>
      </c>
      <c r="R326">
        <v>90</v>
      </c>
      <c r="S326">
        <v>91</v>
      </c>
    </row>
    <row r="327" spans="1:19">
      <c r="A327" t="s">
        <v>17</v>
      </c>
      <c r="B327" s="1">
        <v>46077</v>
      </c>
      <c r="C327" s="2">
        <v>0.82291666666666663</v>
      </c>
      <c r="D327" t="s">
        <v>28</v>
      </c>
      <c r="E327" t="s">
        <v>43</v>
      </c>
      <c r="F327" s="3">
        <v>0.16875000000000001</v>
      </c>
      <c r="G327" t="s">
        <v>338</v>
      </c>
      <c r="H327" t="s">
        <v>21</v>
      </c>
      <c r="I327" t="s">
        <v>22</v>
      </c>
      <c r="J327" t="b">
        <v>0</v>
      </c>
      <c r="K327" t="s">
        <v>31</v>
      </c>
      <c r="L327">
        <v>6130</v>
      </c>
      <c r="M327" t="s">
        <v>24</v>
      </c>
      <c r="N327">
        <v>20261105000325</v>
      </c>
      <c r="O327" t="s">
        <v>25</v>
      </c>
      <c r="P327" t="s">
        <v>26</v>
      </c>
      <c r="Q327" t="s">
        <v>27</v>
      </c>
      <c r="R327">
        <v>90</v>
      </c>
      <c r="S327">
        <v>91</v>
      </c>
    </row>
    <row r="328" spans="1:19">
      <c r="A328" t="s">
        <v>17</v>
      </c>
      <c r="B328" s="1">
        <v>46077</v>
      </c>
      <c r="C328" s="2">
        <v>0.82291666666666663</v>
      </c>
      <c r="D328" t="s">
        <v>33</v>
      </c>
      <c r="E328" t="s">
        <v>47</v>
      </c>
      <c r="F328" s="3">
        <v>0.12777777777777777</v>
      </c>
      <c r="G328" t="s">
        <v>339</v>
      </c>
      <c r="H328" t="s">
        <v>63</v>
      </c>
      <c r="I328" t="s">
        <v>22</v>
      </c>
      <c r="J328" t="b">
        <v>0</v>
      </c>
      <c r="K328" t="s">
        <v>68</v>
      </c>
      <c r="L328">
        <v>4922</v>
      </c>
      <c r="M328" t="s">
        <v>24</v>
      </c>
      <c r="N328">
        <v>20261105000326</v>
      </c>
      <c r="O328" t="s">
        <v>25</v>
      </c>
      <c r="P328" t="s">
        <v>26</v>
      </c>
      <c r="Q328" t="s">
        <v>27</v>
      </c>
      <c r="R328">
        <v>90</v>
      </c>
      <c r="S328">
        <v>91</v>
      </c>
    </row>
    <row r="329" spans="1:19">
      <c r="A329" t="s">
        <v>17</v>
      </c>
      <c r="B329" s="1">
        <v>46077</v>
      </c>
      <c r="C329" s="2">
        <v>0.82291666666666663</v>
      </c>
      <c r="D329" t="s">
        <v>42</v>
      </c>
      <c r="E329" t="s">
        <v>38</v>
      </c>
      <c r="F329" s="3">
        <v>0.1673611111111111</v>
      </c>
      <c r="G329" t="s">
        <v>340</v>
      </c>
      <c r="H329" t="s">
        <v>21</v>
      </c>
      <c r="I329" t="s">
        <v>22</v>
      </c>
      <c r="J329" t="b">
        <v>0</v>
      </c>
      <c r="K329" t="s">
        <v>45</v>
      </c>
      <c r="L329">
        <v>4086</v>
      </c>
      <c r="M329" t="s">
        <v>24</v>
      </c>
      <c r="N329">
        <v>20261105000327</v>
      </c>
      <c r="O329" t="s">
        <v>25</v>
      </c>
      <c r="P329" t="s">
        <v>26</v>
      </c>
      <c r="Q329" t="s">
        <v>27</v>
      </c>
      <c r="R329">
        <v>90</v>
      </c>
      <c r="S329">
        <v>91</v>
      </c>
    </row>
    <row r="330" spans="1:19">
      <c r="A330" t="s">
        <v>17</v>
      </c>
      <c r="B330" s="1">
        <v>46077</v>
      </c>
      <c r="C330" s="2">
        <v>0.82291666666666663</v>
      </c>
      <c r="D330" t="s">
        <v>46</v>
      </c>
      <c r="E330" t="s">
        <v>39</v>
      </c>
      <c r="F330" s="3">
        <v>8.4027777777777785E-2</v>
      </c>
      <c r="G330" t="s">
        <v>137</v>
      </c>
      <c r="H330" t="s">
        <v>21</v>
      </c>
      <c r="I330" t="s">
        <v>22</v>
      </c>
      <c r="J330" t="b">
        <v>0</v>
      </c>
      <c r="K330" t="s">
        <v>49</v>
      </c>
      <c r="L330">
        <v>11263</v>
      </c>
      <c r="M330" t="s">
        <v>24</v>
      </c>
      <c r="N330">
        <v>20261105000328</v>
      </c>
      <c r="O330" t="s">
        <v>25</v>
      </c>
      <c r="P330" t="s">
        <v>26</v>
      </c>
      <c r="Q330" t="s">
        <v>27</v>
      </c>
      <c r="R330">
        <v>90</v>
      </c>
      <c r="S330">
        <v>91</v>
      </c>
    </row>
    <row r="331" spans="1:19">
      <c r="A331" t="s">
        <v>17</v>
      </c>
      <c r="B331" s="1">
        <v>46077</v>
      </c>
      <c r="C331" s="2">
        <v>0.82291666666666663</v>
      </c>
      <c r="D331" t="s">
        <v>51</v>
      </c>
      <c r="E331" t="s">
        <v>32</v>
      </c>
      <c r="F331" s="3">
        <v>4.3749999999999997E-2</v>
      </c>
      <c r="G331" t="s">
        <v>341</v>
      </c>
      <c r="H331" t="s">
        <v>21</v>
      </c>
      <c r="I331" t="s">
        <v>22</v>
      </c>
      <c r="J331" t="b">
        <v>0</v>
      </c>
      <c r="K331" t="s">
        <v>54</v>
      </c>
      <c r="L331">
        <v>7194</v>
      </c>
      <c r="M331" t="s">
        <v>58</v>
      </c>
      <c r="N331">
        <v>20261105000329</v>
      </c>
      <c r="O331" t="s">
        <v>25</v>
      </c>
      <c r="P331" t="s">
        <v>26</v>
      </c>
      <c r="Q331" t="s">
        <v>27</v>
      </c>
      <c r="R331">
        <v>90</v>
      </c>
      <c r="S331">
        <v>91</v>
      </c>
    </row>
    <row r="332" spans="1:19">
      <c r="A332" t="s">
        <v>59</v>
      </c>
      <c r="B332" s="1">
        <v>46080</v>
      </c>
      <c r="C332" s="2">
        <v>0.82291666666666663</v>
      </c>
      <c r="D332" t="s">
        <v>39</v>
      </c>
      <c r="E332" t="s">
        <v>33</v>
      </c>
      <c r="F332" s="3">
        <v>6.9444444444444447E-4</v>
      </c>
      <c r="G332" t="s">
        <v>342</v>
      </c>
      <c r="H332" t="s">
        <v>21</v>
      </c>
      <c r="I332" t="s">
        <v>22</v>
      </c>
      <c r="J332" t="b">
        <v>0</v>
      </c>
      <c r="K332" t="s">
        <v>61</v>
      </c>
      <c r="L332">
        <v>4235</v>
      </c>
      <c r="M332" t="s">
        <v>24</v>
      </c>
      <c r="N332">
        <v>20261105000330</v>
      </c>
      <c r="O332" t="s">
        <v>25</v>
      </c>
      <c r="P332" t="s">
        <v>26</v>
      </c>
      <c r="Q332" t="s">
        <v>27</v>
      </c>
      <c r="R332">
        <v>90</v>
      </c>
      <c r="S332">
        <v>91</v>
      </c>
    </row>
    <row r="333" spans="1:19">
      <c r="A333" t="s">
        <v>59</v>
      </c>
      <c r="B333" s="1">
        <v>46080</v>
      </c>
      <c r="C333" s="2">
        <v>0.82291666666666663</v>
      </c>
      <c r="D333" t="s">
        <v>18</v>
      </c>
      <c r="E333" t="s">
        <v>28</v>
      </c>
      <c r="F333" s="3">
        <v>8.6805555555555552E-2</v>
      </c>
      <c r="G333" t="s">
        <v>343</v>
      </c>
      <c r="H333" t="s">
        <v>21</v>
      </c>
      <c r="I333" t="s">
        <v>22</v>
      </c>
      <c r="J333" t="b">
        <v>0</v>
      </c>
      <c r="K333" t="s">
        <v>23</v>
      </c>
      <c r="L333">
        <v>6765</v>
      </c>
      <c r="M333" t="s">
        <v>24</v>
      </c>
      <c r="N333">
        <v>20261105000331</v>
      </c>
      <c r="O333" t="s">
        <v>25</v>
      </c>
      <c r="P333" t="s">
        <v>26</v>
      </c>
      <c r="Q333" t="s">
        <v>27</v>
      </c>
      <c r="R333">
        <v>90</v>
      </c>
      <c r="S333">
        <v>91</v>
      </c>
    </row>
    <row r="334" spans="1:19">
      <c r="A334" t="s">
        <v>59</v>
      </c>
      <c r="B334" s="1">
        <v>46080</v>
      </c>
      <c r="C334" s="2">
        <v>0.82291666666666663</v>
      </c>
      <c r="D334" t="s">
        <v>47</v>
      </c>
      <c r="E334" t="s">
        <v>51</v>
      </c>
      <c r="F334" s="3">
        <v>8.5416666666666669E-2</v>
      </c>
      <c r="G334" t="s">
        <v>344</v>
      </c>
      <c r="H334" t="s">
        <v>21</v>
      </c>
      <c r="I334" t="s">
        <v>22</v>
      </c>
      <c r="J334" t="b">
        <v>0</v>
      </c>
      <c r="K334" t="s">
        <v>57</v>
      </c>
      <c r="L334">
        <v>6497</v>
      </c>
      <c r="M334" t="s">
        <v>24</v>
      </c>
      <c r="N334">
        <v>20261105000332</v>
      </c>
      <c r="O334" t="s">
        <v>25</v>
      </c>
      <c r="P334" t="s">
        <v>26</v>
      </c>
      <c r="Q334" t="s">
        <v>27</v>
      </c>
      <c r="R334">
        <v>90</v>
      </c>
      <c r="S334">
        <v>91</v>
      </c>
    </row>
    <row r="335" spans="1:19">
      <c r="A335" t="s">
        <v>59</v>
      </c>
      <c r="B335" s="1">
        <v>46080</v>
      </c>
      <c r="C335" s="2">
        <v>0.82291666666666663</v>
      </c>
      <c r="D335" t="s">
        <v>38</v>
      </c>
      <c r="E335" t="s">
        <v>52</v>
      </c>
      <c r="F335" s="3">
        <v>0.16875000000000001</v>
      </c>
      <c r="G335" t="s">
        <v>345</v>
      </c>
      <c r="H335" t="s">
        <v>35</v>
      </c>
      <c r="I335" t="s">
        <v>22</v>
      </c>
      <c r="J335" t="b">
        <v>0</v>
      </c>
      <c r="K335" t="s">
        <v>41</v>
      </c>
      <c r="L335">
        <v>7135</v>
      </c>
      <c r="M335" t="s">
        <v>50</v>
      </c>
      <c r="N335">
        <v>20261105000333</v>
      </c>
      <c r="O335" t="s">
        <v>25</v>
      </c>
      <c r="P335" t="s">
        <v>26</v>
      </c>
      <c r="Q335" t="s">
        <v>27</v>
      </c>
      <c r="R335">
        <v>90</v>
      </c>
      <c r="S335">
        <v>91</v>
      </c>
    </row>
    <row r="336" spans="1:19">
      <c r="A336" t="s">
        <v>59</v>
      </c>
      <c r="B336" s="1">
        <v>46080</v>
      </c>
      <c r="C336" s="2">
        <v>0.82291666666666663</v>
      </c>
      <c r="D336" t="s">
        <v>19</v>
      </c>
      <c r="E336" t="s">
        <v>43</v>
      </c>
      <c r="F336" s="3">
        <v>0.12569444444444444</v>
      </c>
      <c r="G336" t="s">
        <v>205</v>
      </c>
      <c r="H336" t="s">
        <v>21</v>
      </c>
      <c r="I336" t="s">
        <v>22</v>
      </c>
      <c r="J336" t="b">
        <v>0</v>
      </c>
      <c r="K336" t="s">
        <v>66</v>
      </c>
      <c r="L336">
        <v>5168</v>
      </c>
      <c r="M336" t="s">
        <v>58</v>
      </c>
      <c r="N336">
        <v>20261105000334</v>
      </c>
      <c r="O336" t="s">
        <v>25</v>
      </c>
      <c r="P336" t="s">
        <v>26</v>
      </c>
      <c r="Q336" t="s">
        <v>27</v>
      </c>
      <c r="R336">
        <v>90</v>
      </c>
      <c r="S336">
        <v>91</v>
      </c>
    </row>
    <row r="337" spans="1:19">
      <c r="A337" t="s">
        <v>59</v>
      </c>
      <c r="B337" s="1">
        <v>46080</v>
      </c>
      <c r="C337" s="2">
        <v>0.82291666666666663</v>
      </c>
      <c r="D337" t="s">
        <v>29</v>
      </c>
      <c r="E337" t="s">
        <v>46</v>
      </c>
      <c r="F337" s="3">
        <v>0.12777777777777777</v>
      </c>
      <c r="G337" t="s">
        <v>346</v>
      </c>
      <c r="H337" t="s">
        <v>63</v>
      </c>
      <c r="I337" t="s">
        <v>22</v>
      </c>
      <c r="J337" t="b">
        <v>0</v>
      </c>
      <c r="K337" t="s">
        <v>70</v>
      </c>
      <c r="L337">
        <v>9600</v>
      </c>
      <c r="M337" t="s">
        <v>24</v>
      </c>
      <c r="N337">
        <v>20261105000335</v>
      </c>
      <c r="O337" t="s">
        <v>25</v>
      </c>
      <c r="P337" t="s">
        <v>26</v>
      </c>
      <c r="Q337" t="s">
        <v>27</v>
      </c>
      <c r="R337">
        <v>90</v>
      </c>
      <c r="S337">
        <v>91</v>
      </c>
    </row>
    <row r="338" spans="1:19">
      <c r="A338" t="s">
        <v>59</v>
      </c>
      <c r="B338" s="1">
        <v>46080</v>
      </c>
      <c r="C338" s="2">
        <v>0.82291666666666663</v>
      </c>
      <c r="D338" t="s">
        <v>42</v>
      </c>
      <c r="E338" t="s">
        <v>32</v>
      </c>
      <c r="F338" s="3">
        <v>8.5416666666666669E-2</v>
      </c>
      <c r="G338" t="s">
        <v>153</v>
      </c>
      <c r="H338" t="s">
        <v>21</v>
      </c>
      <c r="I338" t="s">
        <v>22</v>
      </c>
      <c r="J338" t="b">
        <v>0</v>
      </c>
      <c r="K338" t="s">
        <v>45</v>
      </c>
      <c r="L338">
        <v>5515</v>
      </c>
      <c r="M338" t="s">
        <v>24</v>
      </c>
      <c r="N338">
        <v>20261105000336</v>
      </c>
      <c r="O338" t="s">
        <v>25</v>
      </c>
      <c r="P338" t="s">
        <v>26</v>
      </c>
      <c r="Q338" t="s">
        <v>27</v>
      </c>
      <c r="R338">
        <v>90</v>
      </c>
      <c r="S338">
        <v>91</v>
      </c>
    </row>
    <row r="339" spans="1:19">
      <c r="A339" t="s">
        <v>73</v>
      </c>
      <c r="B339" s="1">
        <v>46081</v>
      </c>
      <c r="C339" s="2">
        <v>0.82291666666666663</v>
      </c>
      <c r="D339" t="s">
        <v>52</v>
      </c>
      <c r="E339" t="s">
        <v>47</v>
      </c>
      <c r="F339" s="3">
        <v>8.5416666666666669E-2</v>
      </c>
      <c r="G339" t="s">
        <v>347</v>
      </c>
      <c r="H339" t="s">
        <v>21</v>
      </c>
      <c r="I339" t="s">
        <v>22</v>
      </c>
      <c r="J339" t="b">
        <v>0</v>
      </c>
      <c r="K339" t="s">
        <v>64</v>
      </c>
      <c r="L339">
        <v>16806</v>
      </c>
      <c r="M339" t="s">
        <v>58</v>
      </c>
      <c r="N339">
        <v>20261105000337</v>
      </c>
      <c r="O339" t="s">
        <v>25</v>
      </c>
      <c r="P339" t="s">
        <v>26</v>
      </c>
      <c r="Q339" t="s">
        <v>27</v>
      </c>
      <c r="R339">
        <v>90</v>
      </c>
      <c r="S339">
        <v>91</v>
      </c>
    </row>
    <row r="340" spans="1:19">
      <c r="A340" t="s">
        <v>73</v>
      </c>
      <c r="B340" s="1">
        <v>46081</v>
      </c>
      <c r="C340" s="2">
        <v>0.82291666666666663</v>
      </c>
      <c r="D340" t="s">
        <v>28</v>
      </c>
      <c r="E340" t="s">
        <v>19</v>
      </c>
      <c r="F340" s="3">
        <v>1.3888888888888889E-3</v>
      </c>
      <c r="G340" t="s">
        <v>348</v>
      </c>
      <c r="H340" t="s">
        <v>21</v>
      </c>
      <c r="I340" t="s">
        <v>22</v>
      </c>
      <c r="J340" t="b">
        <v>0</v>
      </c>
      <c r="K340" t="s">
        <v>31</v>
      </c>
      <c r="L340">
        <v>6547</v>
      </c>
      <c r="M340" t="s">
        <v>24</v>
      </c>
      <c r="N340">
        <v>20261105000338</v>
      </c>
      <c r="O340" t="s">
        <v>25</v>
      </c>
      <c r="P340" t="s">
        <v>26</v>
      </c>
      <c r="Q340" t="s">
        <v>27</v>
      </c>
      <c r="R340">
        <v>90</v>
      </c>
      <c r="S340">
        <v>91</v>
      </c>
    </row>
    <row r="341" spans="1:19">
      <c r="A341" t="s">
        <v>73</v>
      </c>
      <c r="B341" s="1">
        <v>46081</v>
      </c>
      <c r="C341" s="2">
        <v>0.82291666666666663</v>
      </c>
      <c r="D341" t="s">
        <v>33</v>
      </c>
      <c r="E341" t="s">
        <v>29</v>
      </c>
      <c r="F341" s="3">
        <v>4.4444444444444446E-2</v>
      </c>
      <c r="G341" t="s">
        <v>154</v>
      </c>
      <c r="H341" t="s">
        <v>21</v>
      </c>
      <c r="I341" t="s">
        <v>22</v>
      </c>
      <c r="J341" t="b">
        <v>0</v>
      </c>
      <c r="K341" t="s">
        <v>68</v>
      </c>
      <c r="L341">
        <v>5725</v>
      </c>
      <c r="M341" t="s">
        <v>24</v>
      </c>
      <c r="N341">
        <v>20261105000340</v>
      </c>
      <c r="O341" t="s">
        <v>25</v>
      </c>
      <c r="P341" t="s">
        <v>26</v>
      </c>
      <c r="Q341" t="s">
        <v>27</v>
      </c>
      <c r="R341">
        <v>90</v>
      </c>
      <c r="S341">
        <v>91</v>
      </c>
    </row>
    <row r="342" spans="1:19">
      <c r="A342" t="s">
        <v>73</v>
      </c>
      <c r="B342" s="1">
        <v>46081</v>
      </c>
      <c r="C342" s="2">
        <v>0.82291666666666663</v>
      </c>
      <c r="D342" t="s">
        <v>43</v>
      </c>
      <c r="E342" t="s">
        <v>42</v>
      </c>
      <c r="F342" s="3">
        <v>0.12777777777777777</v>
      </c>
      <c r="G342" t="s">
        <v>349</v>
      </c>
      <c r="H342" t="s">
        <v>21</v>
      </c>
      <c r="I342" t="s">
        <v>22</v>
      </c>
      <c r="J342" t="b">
        <v>0</v>
      </c>
      <c r="K342" t="s">
        <v>72</v>
      </c>
      <c r="L342">
        <v>6000</v>
      </c>
      <c r="M342" t="s">
        <v>24</v>
      </c>
      <c r="N342">
        <v>20261105000341</v>
      </c>
      <c r="O342" t="s">
        <v>25</v>
      </c>
      <c r="P342" t="s">
        <v>26</v>
      </c>
      <c r="Q342" t="s">
        <v>27</v>
      </c>
      <c r="R342">
        <v>90</v>
      </c>
      <c r="S342">
        <v>91</v>
      </c>
    </row>
    <row r="343" spans="1:19">
      <c r="A343" t="s">
        <v>73</v>
      </c>
      <c r="B343" s="1">
        <v>46081</v>
      </c>
      <c r="C343" s="2">
        <v>0.82291666666666663</v>
      </c>
      <c r="D343" t="s">
        <v>46</v>
      </c>
      <c r="E343" t="s">
        <v>38</v>
      </c>
      <c r="F343" s="3">
        <v>8.5416666666666669E-2</v>
      </c>
      <c r="G343" t="s">
        <v>350</v>
      </c>
      <c r="H343" t="s">
        <v>21</v>
      </c>
      <c r="I343" t="s">
        <v>22</v>
      </c>
      <c r="J343" t="b">
        <v>0</v>
      </c>
      <c r="K343" t="s">
        <v>49</v>
      </c>
      <c r="L343">
        <v>12000</v>
      </c>
      <c r="M343" t="s">
        <v>24</v>
      </c>
      <c r="N343">
        <v>20261105000342</v>
      </c>
      <c r="O343" t="s">
        <v>25</v>
      </c>
      <c r="P343" t="s">
        <v>26</v>
      </c>
      <c r="Q343" t="s">
        <v>27</v>
      </c>
      <c r="R343">
        <v>90</v>
      </c>
      <c r="S343">
        <v>91</v>
      </c>
    </row>
    <row r="344" spans="1:19">
      <c r="A344" t="s">
        <v>73</v>
      </c>
      <c r="B344" s="1">
        <v>46081</v>
      </c>
      <c r="C344" s="2">
        <v>0.82291666666666663</v>
      </c>
      <c r="D344" t="s">
        <v>51</v>
      </c>
      <c r="E344" t="s">
        <v>18</v>
      </c>
      <c r="F344" s="3">
        <v>0.1673611111111111</v>
      </c>
      <c r="G344" t="s">
        <v>283</v>
      </c>
      <c r="H344" t="s">
        <v>21</v>
      </c>
      <c r="I344" t="s">
        <v>22</v>
      </c>
      <c r="J344" t="b">
        <v>0</v>
      </c>
      <c r="K344" t="s">
        <v>54</v>
      </c>
      <c r="L344">
        <v>7450</v>
      </c>
      <c r="M344" t="s">
        <v>24</v>
      </c>
      <c r="N344">
        <v>20261105000343</v>
      </c>
      <c r="O344" t="s">
        <v>25</v>
      </c>
      <c r="P344" t="s">
        <v>26</v>
      </c>
      <c r="Q344" t="s">
        <v>27</v>
      </c>
      <c r="R344">
        <v>90</v>
      </c>
      <c r="S344">
        <v>91</v>
      </c>
    </row>
    <row r="345" spans="1:19">
      <c r="A345" t="s">
        <v>55</v>
      </c>
      <c r="B345" s="1">
        <v>46086</v>
      </c>
      <c r="C345" s="2">
        <v>0.82291666666666663</v>
      </c>
      <c r="D345" t="s">
        <v>39</v>
      </c>
      <c r="E345" t="s">
        <v>18</v>
      </c>
      <c r="F345" s="3">
        <v>8.5416666666666669E-2</v>
      </c>
      <c r="G345" t="s">
        <v>119</v>
      </c>
      <c r="H345" t="s">
        <v>63</v>
      </c>
      <c r="I345" t="s">
        <v>22</v>
      </c>
      <c r="J345" t="b">
        <v>0</v>
      </c>
      <c r="K345" t="s">
        <v>61</v>
      </c>
      <c r="L345">
        <v>3913</v>
      </c>
      <c r="M345" t="s">
        <v>24</v>
      </c>
      <c r="N345">
        <v>20261105000344</v>
      </c>
      <c r="O345" t="s">
        <v>25</v>
      </c>
      <c r="P345" t="s">
        <v>26</v>
      </c>
      <c r="Q345" t="s">
        <v>27</v>
      </c>
      <c r="R345">
        <v>90</v>
      </c>
      <c r="S345">
        <v>91</v>
      </c>
    </row>
    <row r="346" spans="1:19">
      <c r="A346" t="s">
        <v>55</v>
      </c>
      <c r="B346" s="1">
        <v>46086</v>
      </c>
      <c r="C346" s="2">
        <v>0.82291666666666663</v>
      </c>
      <c r="D346" t="s">
        <v>52</v>
      </c>
      <c r="E346" t="s">
        <v>51</v>
      </c>
      <c r="F346" s="3">
        <v>8.4027777777777785E-2</v>
      </c>
      <c r="G346" t="s">
        <v>302</v>
      </c>
      <c r="H346" t="s">
        <v>63</v>
      </c>
      <c r="I346" t="s">
        <v>22</v>
      </c>
      <c r="J346" t="b">
        <v>0</v>
      </c>
      <c r="K346" t="s">
        <v>64</v>
      </c>
      <c r="L346">
        <v>15553</v>
      </c>
      <c r="M346" t="s">
        <v>58</v>
      </c>
      <c r="N346">
        <v>20261105000345</v>
      </c>
      <c r="O346" t="s">
        <v>25</v>
      </c>
      <c r="P346" t="s">
        <v>26</v>
      </c>
      <c r="Q346" t="s">
        <v>27</v>
      </c>
      <c r="R346">
        <v>90</v>
      </c>
      <c r="S346">
        <v>91</v>
      </c>
    </row>
    <row r="347" spans="1:19">
      <c r="A347" t="s">
        <v>55</v>
      </c>
      <c r="B347" s="1">
        <v>46086</v>
      </c>
      <c r="C347" s="2">
        <v>0.82291666666666663</v>
      </c>
      <c r="D347" t="s">
        <v>38</v>
      </c>
      <c r="E347" t="s">
        <v>47</v>
      </c>
      <c r="F347" s="3">
        <v>0.21041666666666667</v>
      </c>
      <c r="G347" t="s">
        <v>351</v>
      </c>
      <c r="H347" t="s">
        <v>21</v>
      </c>
      <c r="I347" t="s">
        <v>22</v>
      </c>
      <c r="J347" t="b">
        <v>0</v>
      </c>
      <c r="K347" t="s">
        <v>41</v>
      </c>
      <c r="L347">
        <v>7135</v>
      </c>
      <c r="M347" t="s">
        <v>24</v>
      </c>
      <c r="N347">
        <v>20261105000346</v>
      </c>
      <c r="O347" t="s">
        <v>25</v>
      </c>
      <c r="P347" t="s">
        <v>26</v>
      </c>
      <c r="Q347" t="s">
        <v>27</v>
      </c>
      <c r="R347">
        <v>90</v>
      </c>
      <c r="S347">
        <v>91</v>
      </c>
    </row>
    <row r="348" spans="1:19">
      <c r="A348" t="s">
        <v>55</v>
      </c>
      <c r="B348" s="1">
        <v>46086</v>
      </c>
      <c r="C348" s="2">
        <v>0.82291666666666663</v>
      </c>
      <c r="D348" t="s">
        <v>33</v>
      </c>
      <c r="E348" t="s">
        <v>46</v>
      </c>
      <c r="F348" s="3">
        <v>4.4444444444444446E-2</v>
      </c>
      <c r="G348" t="s">
        <v>352</v>
      </c>
      <c r="H348" t="s">
        <v>21</v>
      </c>
      <c r="I348" t="s">
        <v>22</v>
      </c>
      <c r="J348" t="b">
        <v>0</v>
      </c>
      <c r="K348" t="s">
        <v>68</v>
      </c>
      <c r="L348">
        <v>5640</v>
      </c>
      <c r="M348" t="s">
        <v>24</v>
      </c>
      <c r="N348">
        <v>20261105000347</v>
      </c>
      <c r="O348" t="s">
        <v>25</v>
      </c>
      <c r="P348" t="s">
        <v>26</v>
      </c>
      <c r="Q348" t="s">
        <v>27</v>
      </c>
      <c r="R348">
        <v>90</v>
      </c>
      <c r="S348">
        <v>91</v>
      </c>
    </row>
    <row r="349" spans="1:19">
      <c r="A349" t="s">
        <v>55</v>
      </c>
      <c r="B349" s="1">
        <v>46086</v>
      </c>
      <c r="C349" s="2">
        <v>0.82291666666666663</v>
      </c>
      <c r="D349" t="s">
        <v>29</v>
      </c>
      <c r="E349" t="s">
        <v>28</v>
      </c>
      <c r="F349" s="3">
        <v>8.7499999999999994E-2</v>
      </c>
      <c r="G349" t="s">
        <v>353</v>
      </c>
      <c r="H349" t="s">
        <v>21</v>
      </c>
      <c r="I349" t="s">
        <v>22</v>
      </c>
      <c r="J349" t="b">
        <v>0</v>
      </c>
      <c r="K349" t="s">
        <v>70</v>
      </c>
      <c r="L349">
        <v>9600</v>
      </c>
      <c r="M349" t="s">
        <v>24</v>
      </c>
      <c r="N349">
        <v>20261105000348</v>
      </c>
      <c r="O349" t="s">
        <v>25</v>
      </c>
      <c r="P349" t="s">
        <v>26</v>
      </c>
      <c r="Q349" t="s">
        <v>27</v>
      </c>
      <c r="R349">
        <v>90</v>
      </c>
      <c r="S349">
        <v>91</v>
      </c>
    </row>
    <row r="350" spans="1:19">
      <c r="A350" t="s">
        <v>55</v>
      </c>
      <c r="B350" s="1">
        <v>46086</v>
      </c>
      <c r="C350" s="2">
        <v>0.82291666666666663</v>
      </c>
      <c r="D350" t="s">
        <v>42</v>
      </c>
      <c r="E350" t="s">
        <v>19</v>
      </c>
      <c r="F350" s="3">
        <v>0.25277777777777777</v>
      </c>
      <c r="G350" t="s">
        <v>354</v>
      </c>
      <c r="H350" t="s">
        <v>21</v>
      </c>
      <c r="I350" t="s">
        <v>22</v>
      </c>
      <c r="J350" t="b">
        <v>0</v>
      </c>
      <c r="K350" t="s">
        <v>45</v>
      </c>
      <c r="L350">
        <v>4995</v>
      </c>
      <c r="M350" t="s">
        <v>24</v>
      </c>
      <c r="N350">
        <v>20261105000349</v>
      </c>
      <c r="O350" t="s">
        <v>25</v>
      </c>
      <c r="P350" t="s">
        <v>26</v>
      </c>
      <c r="Q350" t="s">
        <v>27</v>
      </c>
      <c r="R350">
        <v>90</v>
      </c>
      <c r="S350">
        <v>91</v>
      </c>
    </row>
    <row r="351" spans="1:19">
      <c r="A351" t="s">
        <v>55</v>
      </c>
      <c r="B351" s="1">
        <v>46086</v>
      </c>
      <c r="C351" s="2">
        <v>0.82291666666666663</v>
      </c>
      <c r="D351" t="s">
        <v>43</v>
      </c>
      <c r="E351" t="s">
        <v>32</v>
      </c>
      <c r="F351" s="3">
        <v>0.12777777777777777</v>
      </c>
      <c r="G351" t="s">
        <v>355</v>
      </c>
      <c r="H351" t="s">
        <v>21</v>
      </c>
      <c r="I351" t="s">
        <v>22</v>
      </c>
      <c r="J351" t="b">
        <v>0</v>
      </c>
      <c r="K351" t="s">
        <v>72</v>
      </c>
      <c r="L351">
        <v>6000</v>
      </c>
      <c r="M351" t="s">
        <v>24</v>
      </c>
      <c r="N351">
        <v>20261105000350</v>
      </c>
      <c r="O351" t="s">
        <v>25</v>
      </c>
      <c r="P351" t="s">
        <v>26</v>
      </c>
      <c r="Q351" t="s">
        <v>27</v>
      </c>
      <c r="R351">
        <v>90</v>
      </c>
      <c r="S351">
        <v>91</v>
      </c>
    </row>
    <row r="352" spans="1:19">
      <c r="A352" t="s">
        <v>73</v>
      </c>
      <c r="B352" s="1">
        <v>46088</v>
      </c>
      <c r="C352" s="2">
        <v>0.82291666666666663</v>
      </c>
      <c r="D352" t="s">
        <v>39</v>
      </c>
      <c r="E352" t="s">
        <v>38</v>
      </c>
      <c r="F352" s="3">
        <v>8.7499999999999994E-2</v>
      </c>
      <c r="G352" t="s">
        <v>356</v>
      </c>
      <c r="H352" t="s">
        <v>21</v>
      </c>
      <c r="I352" t="s">
        <v>22</v>
      </c>
      <c r="J352" t="b">
        <v>0</v>
      </c>
      <c r="K352" t="s">
        <v>61</v>
      </c>
      <c r="L352">
        <v>4275</v>
      </c>
      <c r="M352" t="s">
        <v>50</v>
      </c>
      <c r="N352">
        <v>20261105000351</v>
      </c>
      <c r="O352" t="s">
        <v>25</v>
      </c>
      <c r="P352" t="s">
        <v>26</v>
      </c>
      <c r="Q352" t="s">
        <v>27</v>
      </c>
      <c r="R352">
        <v>90</v>
      </c>
      <c r="S352">
        <v>91</v>
      </c>
    </row>
    <row r="353" spans="1:19">
      <c r="A353" t="s">
        <v>73</v>
      </c>
      <c r="B353" s="1">
        <v>46088</v>
      </c>
      <c r="C353" s="2">
        <v>0.82291666666666663</v>
      </c>
      <c r="D353" t="s">
        <v>18</v>
      </c>
      <c r="E353" t="s">
        <v>52</v>
      </c>
      <c r="F353" s="3">
        <v>0.1673611111111111</v>
      </c>
      <c r="G353" t="s">
        <v>357</v>
      </c>
      <c r="H353" t="s">
        <v>21</v>
      </c>
      <c r="I353" t="s">
        <v>22</v>
      </c>
      <c r="J353" t="b">
        <v>0</v>
      </c>
      <c r="K353" t="s">
        <v>23</v>
      </c>
      <c r="L353">
        <v>6775</v>
      </c>
      <c r="M353" t="s">
        <v>24</v>
      </c>
      <c r="N353">
        <v>20261105000352</v>
      </c>
      <c r="O353" t="s">
        <v>25</v>
      </c>
      <c r="P353" t="s">
        <v>26</v>
      </c>
      <c r="Q353" t="s">
        <v>27</v>
      </c>
      <c r="R353">
        <v>90</v>
      </c>
      <c r="S353">
        <v>91</v>
      </c>
    </row>
    <row r="354" spans="1:19">
      <c r="A354" t="s">
        <v>73</v>
      </c>
      <c r="B354" s="1">
        <v>46088</v>
      </c>
      <c r="C354" s="2">
        <v>0.82291666666666663</v>
      </c>
      <c r="D354" t="s">
        <v>47</v>
      </c>
      <c r="E354" t="s">
        <v>43</v>
      </c>
      <c r="F354" s="3">
        <v>0.20902777777777778</v>
      </c>
      <c r="G354" t="s">
        <v>358</v>
      </c>
      <c r="H354" t="s">
        <v>21</v>
      </c>
      <c r="I354" t="s">
        <v>22</v>
      </c>
      <c r="J354" t="b">
        <v>0</v>
      </c>
      <c r="K354" t="s">
        <v>57</v>
      </c>
      <c r="L354">
        <v>6556</v>
      </c>
      <c r="M354" t="s">
        <v>24</v>
      </c>
      <c r="N354">
        <v>20261105000353</v>
      </c>
      <c r="O354" t="s">
        <v>25</v>
      </c>
      <c r="P354" t="s">
        <v>26</v>
      </c>
      <c r="Q354" t="s">
        <v>27</v>
      </c>
      <c r="R354">
        <v>90</v>
      </c>
      <c r="S354">
        <v>91</v>
      </c>
    </row>
    <row r="355" spans="1:19">
      <c r="A355" t="s">
        <v>73</v>
      </c>
      <c r="B355" s="1">
        <v>46088</v>
      </c>
      <c r="C355" s="2">
        <v>0.82291666666666663</v>
      </c>
      <c r="D355" t="s">
        <v>32</v>
      </c>
      <c r="E355" t="s">
        <v>29</v>
      </c>
      <c r="F355" s="3">
        <v>0.12777777777777777</v>
      </c>
      <c r="G355" t="s">
        <v>359</v>
      </c>
      <c r="H355" t="s">
        <v>21</v>
      </c>
      <c r="I355" t="s">
        <v>22</v>
      </c>
      <c r="J355" t="b">
        <v>0</v>
      </c>
      <c r="K355" t="s">
        <v>36</v>
      </c>
      <c r="L355">
        <v>9372</v>
      </c>
      <c r="M355" t="s">
        <v>24</v>
      </c>
      <c r="N355">
        <v>20261105000354</v>
      </c>
      <c r="O355" t="s">
        <v>25</v>
      </c>
      <c r="P355" t="s">
        <v>26</v>
      </c>
      <c r="Q355" t="s">
        <v>27</v>
      </c>
      <c r="R355">
        <v>90</v>
      </c>
      <c r="S355">
        <v>91</v>
      </c>
    </row>
    <row r="356" spans="1:19">
      <c r="A356" t="s">
        <v>73</v>
      </c>
      <c r="B356" s="1">
        <v>46088</v>
      </c>
      <c r="C356" s="2">
        <v>0.82291666666666663</v>
      </c>
      <c r="D356" t="s">
        <v>19</v>
      </c>
      <c r="E356" t="s">
        <v>33</v>
      </c>
      <c r="F356" s="3">
        <v>8.4027777777777785E-2</v>
      </c>
      <c r="G356" t="s">
        <v>121</v>
      </c>
      <c r="H356" t="s">
        <v>35</v>
      </c>
      <c r="I356" t="s">
        <v>22</v>
      </c>
      <c r="J356" t="b">
        <v>0</v>
      </c>
      <c r="K356" t="s">
        <v>66</v>
      </c>
      <c r="L356">
        <v>6404</v>
      </c>
      <c r="M356" t="s">
        <v>24</v>
      </c>
      <c r="N356">
        <v>20261105000355</v>
      </c>
      <c r="O356" t="s">
        <v>25</v>
      </c>
      <c r="P356" t="s">
        <v>26</v>
      </c>
      <c r="Q356" t="s">
        <v>27</v>
      </c>
      <c r="R356">
        <v>90</v>
      </c>
      <c r="S356">
        <v>91</v>
      </c>
    </row>
    <row r="357" spans="1:19">
      <c r="A357" t="s">
        <v>73</v>
      </c>
      <c r="B357" s="1">
        <v>46088</v>
      </c>
      <c r="C357" s="2">
        <v>0.82291666666666663</v>
      </c>
      <c r="D357" t="s">
        <v>46</v>
      </c>
      <c r="E357" t="s">
        <v>28</v>
      </c>
      <c r="F357" s="3">
        <v>4.3055555555555555E-2</v>
      </c>
      <c r="G357" t="s">
        <v>360</v>
      </c>
      <c r="H357" t="s">
        <v>21</v>
      </c>
      <c r="I357" t="s">
        <v>22</v>
      </c>
      <c r="J357" t="b">
        <v>0</v>
      </c>
      <c r="K357" t="s">
        <v>49</v>
      </c>
      <c r="L357">
        <v>12000</v>
      </c>
      <c r="M357" t="s">
        <v>24</v>
      </c>
      <c r="N357">
        <v>20261105000356</v>
      </c>
      <c r="O357" t="s">
        <v>25</v>
      </c>
      <c r="P357" t="s">
        <v>26</v>
      </c>
      <c r="Q357" t="s">
        <v>27</v>
      </c>
      <c r="R357">
        <v>90</v>
      </c>
      <c r="S357">
        <v>91</v>
      </c>
    </row>
    <row r="358" spans="1:19">
      <c r="A358" t="s">
        <v>73</v>
      </c>
      <c r="B358" s="1">
        <v>46088</v>
      </c>
      <c r="C358" s="2">
        <v>0.82291666666666663</v>
      </c>
      <c r="D358" t="s">
        <v>51</v>
      </c>
      <c r="E358" t="s">
        <v>42</v>
      </c>
      <c r="F358" s="3">
        <v>8.5416666666666669E-2</v>
      </c>
      <c r="G358" t="s">
        <v>361</v>
      </c>
      <c r="H358" t="s">
        <v>35</v>
      </c>
      <c r="I358" t="s">
        <v>22</v>
      </c>
      <c r="J358" t="b">
        <v>0</v>
      </c>
      <c r="K358" t="s">
        <v>54</v>
      </c>
      <c r="L358">
        <v>7450</v>
      </c>
      <c r="M358" t="s">
        <v>24</v>
      </c>
      <c r="N358">
        <v>20261105000357</v>
      </c>
      <c r="O358" t="s">
        <v>25</v>
      </c>
      <c r="P358" t="s">
        <v>26</v>
      </c>
      <c r="Q358" t="s">
        <v>27</v>
      </c>
      <c r="R358">
        <v>90</v>
      </c>
      <c r="S358">
        <v>91</v>
      </c>
    </row>
    <row r="359" spans="1:19">
      <c r="A359" t="s">
        <v>270</v>
      </c>
      <c r="B359" s="1">
        <v>46090</v>
      </c>
      <c r="C359" s="2">
        <v>0.82291666666666663</v>
      </c>
      <c r="D359" t="s">
        <v>52</v>
      </c>
      <c r="E359" t="s">
        <v>32</v>
      </c>
      <c r="F359" s="3">
        <v>0.12777777777777777</v>
      </c>
      <c r="G359" t="s">
        <v>355</v>
      </c>
      <c r="H359" t="s">
        <v>21</v>
      </c>
      <c r="I359" t="s">
        <v>22</v>
      </c>
      <c r="J359" t="b">
        <v>0</v>
      </c>
      <c r="K359" t="s">
        <v>64</v>
      </c>
      <c r="L359">
        <v>16471</v>
      </c>
      <c r="M359" t="s">
        <v>50</v>
      </c>
      <c r="N359">
        <v>20261105000358</v>
      </c>
      <c r="O359" t="s">
        <v>25</v>
      </c>
      <c r="P359" t="s">
        <v>26</v>
      </c>
      <c r="Q359" t="s">
        <v>27</v>
      </c>
      <c r="R359">
        <v>90</v>
      </c>
      <c r="S359">
        <v>91</v>
      </c>
    </row>
    <row r="360" spans="1:19">
      <c r="A360" t="s">
        <v>270</v>
      </c>
      <c r="B360" s="1">
        <v>46090</v>
      </c>
      <c r="C360" s="2">
        <v>0.82291666666666663</v>
      </c>
      <c r="D360" t="s">
        <v>28</v>
      </c>
      <c r="E360" t="s">
        <v>47</v>
      </c>
      <c r="F360" s="3">
        <v>0.20972222222222223</v>
      </c>
      <c r="G360" t="s">
        <v>362</v>
      </c>
      <c r="H360" t="s">
        <v>21</v>
      </c>
      <c r="I360" t="s">
        <v>22</v>
      </c>
      <c r="J360" t="b">
        <v>0</v>
      </c>
      <c r="K360" t="s">
        <v>31</v>
      </c>
      <c r="L360">
        <v>4656</v>
      </c>
      <c r="M360" t="s">
        <v>24</v>
      </c>
      <c r="N360">
        <v>20261105000359</v>
      </c>
      <c r="O360" t="s">
        <v>25</v>
      </c>
      <c r="P360" t="s">
        <v>26</v>
      </c>
      <c r="Q360" t="s">
        <v>27</v>
      </c>
      <c r="R360">
        <v>90</v>
      </c>
      <c r="S360">
        <v>91</v>
      </c>
    </row>
    <row r="361" spans="1:19">
      <c r="A361" t="s">
        <v>270</v>
      </c>
      <c r="B361" s="1">
        <v>46090</v>
      </c>
      <c r="C361" s="2">
        <v>0.82291666666666663</v>
      </c>
      <c r="D361" t="s">
        <v>38</v>
      </c>
      <c r="E361" t="s">
        <v>19</v>
      </c>
      <c r="F361" s="3">
        <v>0.29166666666666669</v>
      </c>
      <c r="G361" t="s">
        <v>363</v>
      </c>
      <c r="H361" t="s">
        <v>21</v>
      </c>
      <c r="I361" t="s">
        <v>22</v>
      </c>
      <c r="J361" t="b">
        <v>0</v>
      </c>
      <c r="K361" t="s">
        <v>41</v>
      </c>
      <c r="L361">
        <v>6342</v>
      </c>
      <c r="M361" t="s">
        <v>24</v>
      </c>
      <c r="N361">
        <v>20261105000360</v>
      </c>
      <c r="O361" t="s">
        <v>25</v>
      </c>
      <c r="P361" t="s">
        <v>26</v>
      </c>
      <c r="Q361" t="s">
        <v>27</v>
      </c>
      <c r="R361">
        <v>90</v>
      </c>
      <c r="S361">
        <v>91</v>
      </c>
    </row>
    <row r="362" spans="1:19">
      <c r="A362" t="s">
        <v>270</v>
      </c>
      <c r="B362" s="1">
        <v>46090</v>
      </c>
      <c r="C362" s="2">
        <v>0.82291666666666663</v>
      </c>
      <c r="D362" t="s">
        <v>33</v>
      </c>
      <c r="E362" t="s">
        <v>51</v>
      </c>
      <c r="F362" s="3">
        <v>0.1673611111111111</v>
      </c>
      <c r="G362" t="s">
        <v>322</v>
      </c>
      <c r="H362" t="s">
        <v>21</v>
      </c>
      <c r="I362" t="s">
        <v>22</v>
      </c>
      <c r="J362" t="b">
        <v>0</v>
      </c>
      <c r="K362" t="s">
        <v>68</v>
      </c>
      <c r="L362">
        <v>5941</v>
      </c>
      <c r="M362" t="s">
        <v>37</v>
      </c>
      <c r="N362">
        <v>20261105000361</v>
      </c>
      <c r="O362" t="s">
        <v>25</v>
      </c>
      <c r="P362" t="s">
        <v>26</v>
      </c>
      <c r="Q362" t="s">
        <v>27</v>
      </c>
      <c r="R362">
        <v>90</v>
      </c>
      <c r="S362">
        <v>91</v>
      </c>
    </row>
    <row r="363" spans="1:19">
      <c r="A363" t="s">
        <v>270</v>
      </c>
      <c r="B363" s="1">
        <v>46090</v>
      </c>
      <c r="C363" s="2">
        <v>0.82291666666666663</v>
      </c>
      <c r="D363" t="s">
        <v>29</v>
      </c>
      <c r="E363" t="s">
        <v>39</v>
      </c>
      <c r="F363" s="3">
        <v>8.5416666666666669E-2</v>
      </c>
      <c r="G363" t="s">
        <v>364</v>
      </c>
      <c r="H363" t="s">
        <v>63</v>
      </c>
      <c r="I363" t="s">
        <v>22</v>
      </c>
      <c r="J363" t="b">
        <v>0</v>
      </c>
      <c r="K363" t="s">
        <v>70</v>
      </c>
      <c r="L363">
        <v>9600</v>
      </c>
      <c r="M363" t="s">
        <v>24</v>
      </c>
      <c r="N363">
        <v>20261105000362</v>
      </c>
      <c r="O363" t="s">
        <v>25</v>
      </c>
      <c r="P363" t="s">
        <v>26</v>
      </c>
      <c r="Q363" t="s">
        <v>27</v>
      </c>
      <c r="R363">
        <v>90</v>
      </c>
      <c r="S363">
        <v>91</v>
      </c>
    </row>
    <row r="364" spans="1:19">
      <c r="A364" t="s">
        <v>270</v>
      </c>
      <c r="B364" s="1">
        <v>46090</v>
      </c>
      <c r="C364" s="2">
        <v>0.82291666666666663</v>
      </c>
      <c r="D364" t="s">
        <v>42</v>
      </c>
      <c r="E364" t="s">
        <v>18</v>
      </c>
      <c r="F364" s="3">
        <v>0.25138888888888888</v>
      </c>
      <c r="G364" t="s">
        <v>365</v>
      </c>
      <c r="H364" t="s">
        <v>21</v>
      </c>
      <c r="I364" t="s">
        <v>22</v>
      </c>
      <c r="J364" t="b">
        <v>0</v>
      </c>
      <c r="K364" t="s">
        <v>45</v>
      </c>
      <c r="L364">
        <v>4562</v>
      </c>
      <c r="M364" t="s">
        <v>24</v>
      </c>
      <c r="N364">
        <v>20261105000363</v>
      </c>
      <c r="O364" t="s">
        <v>25</v>
      </c>
      <c r="P364" t="s">
        <v>26</v>
      </c>
      <c r="Q364" t="s">
        <v>27</v>
      </c>
      <c r="R364">
        <v>90</v>
      </c>
      <c r="S364">
        <v>91</v>
      </c>
    </row>
    <row r="365" spans="1:19">
      <c r="A365" t="s">
        <v>270</v>
      </c>
      <c r="B365" s="1">
        <v>46090</v>
      </c>
      <c r="C365" s="2">
        <v>0.82291666666666663</v>
      </c>
      <c r="D365" t="s">
        <v>43</v>
      </c>
      <c r="E365" t="s">
        <v>46</v>
      </c>
      <c r="F365" s="3">
        <v>1.3888888888888889E-3</v>
      </c>
      <c r="G365" t="s">
        <v>366</v>
      </c>
      <c r="H365" t="s">
        <v>21</v>
      </c>
      <c r="I365" t="s">
        <v>22</v>
      </c>
      <c r="J365" t="b">
        <v>0</v>
      </c>
      <c r="K365" t="s">
        <v>72</v>
      </c>
      <c r="L365">
        <v>5416</v>
      </c>
      <c r="M365" t="s">
        <v>58</v>
      </c>
      <c r="N365">
        <v>20261105000364</v>
      </c>
      <c r="O365" t="s">
        <v>25</v>
      </c>
      <c r="P365" t="s">
        <v>26</v>
      </c>
      <c r="Q365" t="s">
        <v>27</v>
      </c>
      <c r="R365">
        <v>90</v>
      </c>
      <c r="S365">
        <v>91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4FA6-2DB1-4CC3-ABDA-E8B0B8347553}">
  <dimension ref="B1:J27"/>
  <sheetViews>
    <sheetView workbookViewId="0">
      <selection activeCell="J27" sqref="J27"/>
    </sheetView>
  </sheetViews>
  <sheetFormatPr defaultRowHeight="15"/>
  <cols>
    <col min="2" max="2" width="9.7109375" customWidth="1"/>
    <col min="5" max="5" width="20.28515625" customWidth="1"/>
    <col min="6" max="6" width="9.85546875" customWidth="1"/>
    <col min="7" max="7" width="10.85546875" customWidth="1"/>
  </cols>
  <sheetData>
    <row r="1" spans="2:8">
      <c r="B1" t="s">
        <v>372</v>
      </c>
      <c r="C1" t="s">
        <v>373</v>
      </c>
      <c r="D1" t="s">
        <v>377</v>
      </c>
      <c r="E1" t="s">
        <v>376</v>
      </c>
      <c r="F1" t="s">
        <v>379</v>
      </c>
      <c r="G1" t="s">
        <v>380</v>
      </c>
      <c r="H1" t="s">
        <v>378</v>
      </c>
    </row>
    <row r="2" spans="2:8">
      <c r="B2">
        <v>1500</v>
      </c>
      <c r="C2">
        <v>1500</v>
      </c>
      <c r="D2">
        <v>-100</v>
      </c>
      <c r="E2">
        <f xml:space="preserve"> 1 / (1 + 10^((-D2)/400))</f>
        <v>0.35993500019711488</v>
      </c>
      <c r="F2">
        <v>1</v>
      </c>
      <c r="G2">
        <v>0</v>
      </c>
      <c r="H2">
        <f>B2+20*(F2-E2)</f>
        <v>1512.8012999960577</v>
      </c>
    </row>
    <row r="3" spans="2:8">
      <c r="B3">
        <v>1500</v>
      </c>
      <c r="D3">
        <v>-90</v>
      </c>
      <c r="E3">
        <f t="shared" ref="E3:E22" si="0" xml:space="preserve"> 1 / (1 + 10^((-D3)/400))</f>
        <v>0.37330091833326789</v>
      </c>
      <c r="F3">
        <v>1</v>
      </c>
      <c r="H3">
        <f t="shared" ref="H3:H22" si="1">B3+20*(F3-E3)</f>
        <v>1512.5339816333346</v>
      </c>
    </row>
    <row r="4" spans="2:8">
      <c r="B4">
        <v>1500</v>
      </c>
      <c r="D4">
        <v>-80</v>
      </c>
      <c r="E4">
        <f t="shared" si="0"/>
        <v>0.38686317984685692</v>
      </c>
      <c r="F4">
        <v>1</v>
      </c>
      <c r="H4">
        <f t="shared" si="1"/>
        <v>1512.2627364030629</v>
      </c>
    </row>
    <row r="5" spans="2:8">
      <c r="B5">
        <v>1500</v>
      </c>
      <c r="D5">
        <v>-70</v>
      </c>
      <c r="E5">
        <f t="shared" si="0"/>
        <v>0.40060320329074317</v>
      </c>
      <c r="F5">
        <v>1</v>
      </c>
      <c r="H5">
        <f t="shared" si="1"/>
        <v>1511.9879359341851</v>
      </c>
    </row>
    <row r="6" spans="2:8">
      <c r="B6">
        <v>1500</v>
      </c>
      <c r="D6">
        <v>-60</v>
      </c>
      <c r="E6">
        <f t="shared" si="0"/>
        <v>0.41450132132819051</v>
      </c>
      <c r="F6">
        <v>1</v>
      </c>
      <c r="H6">
        <f t="shared" si="1"/>
        <v>1511.7099735734362</v>
      </c>
    </row>
    <row r="7" spans="2:8">
      <c r="B7">
        <v>1500</v>
      </c>
      <c r="D7">
        <v>-50</v>
      </c>
      <c r="E7">
        <f t="shared" si="0"/>
        <v>0.4285368825916186</v>
      </c>
      <c r="F7">
        <v>1</v>
      </c>
      <c r="H7">
        <f t="shared" si="1"/>
        <v>1511.4292623481676</v>
      </c>
    </row>
    <row r="8" spans="2:8">
      <c r="B8">
        <v>1500</v>
      </c>
      <c r="D8">
        <v>-40</v>
      </c>
      <c r="E8">
        <f t="shared" si="0"/>
        <v>0.44268836623770724</v>
      </c>
      <c r="F8">
        <v>1</v>
      </c>
      <c r="H8">
        <f t="shared" si="1"/>
        <v>1511.1462326752458</v>
      </c>
    </row>
    <row r="9" spans="2:8">
      <c r="B9">
        <v>1500</v>
      </c>
      <c r="D9">
        <v>-30</v>
      </c>
      <c r="E9">
        <f t="shared" si="0"/>
        <v>0.4569335079777882</v>
      </c>
      <c r="F9">
        <v>1</v>
      </c>
      <c r="H9">
        <f t="shared" si="1"/>
        <v>1510.8613298404443</v>
      </c>
    </row>
    <row r="10" spans="2:8">
      <c r="B10">
        <v>1500</v>
      </c>
      <c r="D10">
        <v>-20</v>
      </c>
      <c r="E10">
        <f t="shared" si="0"/>
        <v>0.47124943610773129</v>
      </c>
      <c r="F10">
        <v>1</v>
      </c>
      <c r="H10">
        <f t="shared" si="1"/>
        <v>1510.5750112778453</v>
      </c>
    </row>
    <row r="11" spans="2:8">
      <c r="B11">
        <v>1500</v>
      </c>
      <c r="D11">
        <v>-10</v>
      </c>
      <c r="E11">
        <f t="shared" si="0"/>
        <v>0.48561281583400134</v>
      </c>
      <c r="F11">
        <v>1</v>
      </c>
      <c r="H11">
        <f t="shared" si="1"/>
        <v>1510.2877436833201</v>
      </c>
    </row>
    <row r="12" spans="2:8">
      <c r="B12">
        <v>1500</v>
      </c>
      <c r="D12">
        <v>0</v>
      </c>
      <c r="E12">
        <f t="shared" si="0"/>
        <v>0.5</v>
      </c>
      <c r="F12">
        <v>1</v>
      </c>
      <c r="H12">
        <f t="shared" si="1"/>
        <v>1510</v>
      </c>
    </row>
    <row r="13" spans="2:8">
      <c r="B13">
        <v>1500</v>
      </c>
      <c r="D13">
        <v>10</v>
      </c>
      <c r="E13">
        <f t="shared" si="0"/>
        <v>0.51438718416599871</v>
      </c>
      <c r="F13">
        <v>1</v>
      </c>
      <c r="H13">
        <f t="shared" si="1"/>
        <v>1509.7122563166799</v>
      </c>
    </row>
    <row r="14" spans="2:8">
      <c r="B14">
        <v>1500</v>
      </c>
      <c r="D14">
        <v>20</v>
      </c>
      <c r="E14">
        <f t="shared" si="0"/>
        <v>0.5287505638922686</v>
      </c>
      <c r="F14">
        <v>1</v>
      </c>
      <c r="H14">
        <f t="shared" si="1"/>
        <v>1509.4249887221547</v>
      </c>
    </row>
    <row r="15" spans="2:8">
      <c r="B15">
        <v>1500</v>
      </c>
      <c r="D15">
        <v>30</v>
      </c>
      <c r="E15">
        <f t="shared" si="0"/>
        <v>0.54306649202221191</v>
      </c>
      <c r="F15">
        <v>1</v>
      </c>
      <c r="H15">
        <f t="shared" si="1"/>
        <v>1509.1386701595557</v>
      </c>
    </row>
    <row r="16" spans="2:8">
      <c r="B16">
        <v>1500</v>
      </c>
      <c r="D16">
        <v>40</v>
      </c>
      <c r="E16">
        <f t="shared" si="0"/>
        <v>0.55731163376229276</v>
      </c>
      <c r="F16">
        <v>1</v>
      </c>
      <c r="H16">
        <f t="shared" si="1"/>
        <v>1508.8537673247542</v>
      </c>
    </row>
    <row r="17" spans="2:10">
      <c r="B17">
        <v>1500</v>
      </c>
      <c r="D17">
        <v>50</v>
      </c>
      <c r="E17">
        <f t="shared" si="0"/>
        <v>0.5714631174083814</v>
      </c>
      <c r="F17">
        <v>1</v>
      </c>
      <c r="H17">
        <f t="shared" si="1"/>
        <v>1508.5707376518324</v>
      </c>
    </row>
    <row r="18" spans="2:10">
      <c r="B18">
        <v>1500</v>
      </c>
      <c r="D18">
        <v>60</v>
      </c>
      <c r="E18">
        <f t="shared" si="0"/>
        <v>0.58549867867180949</v>
      </c>
      <c r="F18">
        <v>1</v>
      </c>
      <c r="H18">
        <f t="shared" si="1"/>
        <v>1508.2900264265638</v>
      </c>
    </row>
    <row r="19" spans="2:10">
      <c r="B19">
        <v>1500</v>
      </c>
      <c r="D19">
        <v>70</v>
      </c>
      <c r="E19">
        <f t="shared" si="0"/>
        <v>0.59939679670925683</v>
      </c>
      <c r="F19">
        <v>1</v>
      </c>
      <c r="H19">
        <f t="shared" si="1"/>
        <v>1508.0120640658149</v>
      </c>
    </row>
    <row r="20" spans="2:10">
      <c r="B20">
        <v>1500</v>
      </c>
      <c r="D20">
        <v>80</v>
      </c>
      <c r="E20">
        <f t="shared" si="0"/>
        <v>0.61313682015314308</v>
      </c>
      <c r="F20">
        <v>1</v>
      </c>
      <c r="H20">
        <f t="shared" si="1"/>
        <v>1507.7372635969371</v>
      </c>
    </row>
    <row r="21" spans="2:10">
      <c r="B21">
        <v>1500</v>
      </c>
      <c r="D21">
        <v>90</v>
      </c>
      <c r="E21">
        <f t="shared" si="0"/>
        <v>0.62669908166673205</v>
      </c>
      <c r="F21">
        <v>1</v>
      </c>
      <c r="H21">
        <f t="shared" si="1"/>
        <v>1507.4660183666654</v>
      </c>
    </row>
    <row r="22" spans="2:10">
      <c r="B22">
        <v>1500</v>
      </c>
      <c r="D22">
        <v>100</v>
      </c>
      <c r="E22">
        <f t="shared" si="0"/>
        <v>0.64006499980288512</v>
      </c>
      <c r="F22">
        <v>1</v>
      </c>
      <c r="H22">
        <f t="shared" si="1"/>
        <v>1507.1987000039423</v>
      </c>
    </row>
    <row r="26" spans="2:10">
      <c r="D26">
        <v>-400</v>
      </c>
      <c r="E26">
        <f t="shared" ref="E26:E27" si="2" xml:space="preserve"> 1 / (1 + 10^((-D26)/400))</f>
        <v>9.0909090909090912E-2</v>
      </c>
      <c r="F26">
        <v>1</v>
      </c>
      <c r="H26">
        <f t="shared" ref="H26:H27" si="3">B26+20*(F26-E26)</f>
        <v>18.18181818181818</v>
      </c>
      <c r="J26" t="s">
        <v>381</v>
      </c>
    </row>
    <row r="27" spans="2:10">
      <c r="D27">
        <v>400</v>
      </c>
      <c r="E27">
        <f t="shared" si="2"/>
        <v>0.90909090909090906</v>
      </c>
      <c r="F27">
        <v>1</v>
      </c>
      <c r="H27">
        <f t="shared" si="3"/>
        <v>1.8181818181818188</v>
      </c>
      <c r="J27" t="s">
        <v>382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1BBDC-0BF0-4884-B105-024782115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df_test</vt:lpstr>
      <vt:lpstr>elo_full</vt:lpstr>
      <vt:lpstr>regular_season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Louis-Pierre Gagnaux</dc:creator>
  <cp:lastModifiedBy>Louis-Pierre Gagnaux</cp:lastModifiedBy>
  <dcterms:created xsi:type="dcterms:W3CDTF">2026-03-27T09:06:17Z</dcterms:created>
  <dcterms:modified xsi:type="dcterms:W3CDTF">2026-04-06T06:59:00Z</dcterms:modified>
</cp:coreProperties>
</file>